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mc:AlternateContent xmlns:mc="http://schemas.openxmlformats.org/markup-compatibility/2006">
    <mc:Choice Requires="x15">
      <x15ac:absPath xmlns:x15ac="http://schemas.microsoft.com/office/spreadsheetml/2010/11/ac" url="D:\dev\accounting-analysis-spreadsheets\"/>
    </mc:Choice>
  </mc:AlternateContent>
  <bookViews>
    <workbookView xWindow="0" yWindow="0" windowWidth="22104" windowHeight="9672" tabRatio="477"/>
  </bookViews>
  <sheets>
    <sheet name="Intro" sheetId="1" r:id="rId1"/>
    <sheet name="Fin. Statements" sheetId="4" r:id="rId2"/>
    <sheet name="ROI - Profitability" sheetId="17" r:id="rId3"/>
    <sheet name="Efficiency" sheetId="13" r:id="rId4"/>
    <sheet name="Income Chart" sheetId="15" r:id="rId5"/>
  </sheets>
  <definedNames>
    <definedName name="_xlnm._FilterDatabase" localSheetId="0" hidden="1">Intro!$K$18:$L$73</definedName>
    <definedName name="Accounts_Payable">'Fin. Statements'!$B$30</definedName>
    <definedName name="Accounts_Receivable">'Fin. Statements'!$B$19</definedName>
    <definedName name="Accrued_liabilities">'Fin. Statements'!$B$31</definedName>
    <definedName name="Accumulated_other_loss">'Fin. Statements'!$B$41</definedName>
    <definedName name="Cash">'Fin. Statements'!$B$18</definedName>
    <definedName name="Common_Stock">'Fin. Statements'!$B$39</definedName>
    <definedName name="Cost_of_Goods_Sold">'Fin. Statements'!$B$7</definedName>
    <definedName name="Current_portion_long_term_debt">'Fin. Statements'!$B$28</definedName>
    <definedName name="Deferred_income_taxes">'Fin. Statements'!$B$22</definedName>
    <definedName name="Deferred_income_taxes_liability">'Fin. Statements'!$B$35</definedName>
    <definedName name="Deferred_revenue">'Fin. Statements'!$B$34</definedName>
    <definedName name="Goodwill">'Fin. Statements'!$B$25</definedName>
    <definedName name="Gross_Profit">'Fin. Statements'!$B$8</definedName>
    <definedName name="Interest_Expense">'Fin. Statements'!$B$11</definedName>
    <definedName name="Inventories">'Fin. Statements'!$B$20</definedName>
    <definedName name="Last_Year_Accounts_Payable">'Fin. Statements'!$D$30</definedName>
    <definedName name="Last_Year_Accounts_Receivable">'Fin. Statements'!$D$19</definedName>
    <definedName name="Last_year_accrued_liabilities">'Fin. Statements'!$D$31</definedName>
    <definedName name="Last_year_Accumulated_other_loss">'Fin. Statements'!$D$41</definedName>
    <definedName name="Last_Year_Cash">'Fin. Statements'!$D$18</definedName>
    <definedName name="Last_year_common_stock">'Fin. Statements'!$D$39</definedName>
    <definedName name="Last_Year_Cost_of_Goods_Sold">'Fin. Statements'!$D$7</definedName>
    <definedName name="Last_year_current_liabilities">'Fin. Statements'!$D$32</definedName>
    <definedName name="Last_year_current_portion_long_term_debt">'Fin. Statements'!$D$28</definedName>
    <definedName name="Last_Year_Deferred_income_taxes">'Fin. Statements'!$D$22</definedName>
    <definedName name="Last_year_Deferred_income_taxes_liabilities">'Fin. Statements'!$D$35</definedName>
    <definedName name="Last_year_Deferred_revenue">'Fin. Statements'!$D$34</definedName>
    <definedName name="Last_Year_Goodwill">'Fin. Statements'!$D$25</definedName>
    <definedName name="Last_Year_Gross_Profit">'Fin. Statements'!$D$8</definedName>
    <definedName name="Last_Year_Interest_Expense">'Fin. Statements'!$D$11</definedName>
    <definedName name="Last_Year_Inventories">'Fin. Statements'!$D$20</definedName>
    <definedName name="Last_year_long_term_debt_less_short_portion">'Fin. Statements'!$D$33</definedName>
    <definedName name="Last_Year_Net_Income">'Fin. Statements'!$D$14</definedName>
    <definedName name="Last_Year_Net_Sales">'Fin. Statements'!$D$6</definedName>
    <definedName name="Last_Year_Operating_Expenses">'Fin. Statements'!$D$9</definedName>
    <definedName name="Last_Year_Operating_Income">'Fin. Statements'!$D$10</definedName>
    <definedName name="Last_Year_Other_Assets">'Fin. Statements'!$D$24</definedName>
    <definedName name="Last_Year_Other_Income__Expense">'Fin. Statements'!$D$12</definedName>
    <definedName name="Last_Year_Other_intangible_assets">'Fin. Statements'!$D$26</definedName>
    <definedName name="Last_year_Other_long_term_liabilities">'Fin. Statements'!$D$36</definedName>
    <definedName name="Last_year_preferred_stock">'Fin. Statements'!$D$38</definedName>
    <definedName name="Last_Year_Prepaid_expenses_and_other">'Fin. Statements'!$D$21</definedName>
    <definedName name="Last_Year_Property__Plant__and_Equipment">'Fin. Statements'!$D$23</definedName>
    <definedName name="Last_Year_Provision_for_taxes">'Fin. Statements'!$D$13</definedName>
    <definedName name="Last_year_retained_earnings">'Fin. Statements'!$D$40</definedName>
    <definedName name="Last_year_short_term_debt">'Fin. Statements'!$D$29</definedName>
    <definedName name="Last_Year_Total_Assets">'Fin. Statements'!$D$27</definedName>
    <definedName name="Last_Year_Total_Equity">'Fin. Statements'!$D$42</definedName>
    <definedName name="Last_Year_Total_Liabilities">'Fin. Statements'!$D$37</definedName>
    <definedName name="Last_year_Total_liabilities_and_Equity">'Fin. Statements'!$D$43</definedName>
    <definedName name="Long_term_debt_less_short_portion">'Fin. Statements'!$B$33</definedName>
    <definedName name="Net_Income">'Fin. Statements'!$B$14</definedName>
    <definedName name="Net_Sales">'Fin. Statements'!$B$6</definedName>
    <definedName name="Operating_Expenses">'Fin. Statements'!$B$9</definedName>
    <definedName name="Operating_Income">'Fin. Statements'!$B$10</definedName>
    <definedName name="Other_Assets">'Fin. Statements'!$B$24</definedName>
    <definedName name="Other_Income__Expense">'Fin. Statements'!$B$12</definedName>
    <definedName name="Other_intangible_assets">'Fin. Statements'!$B$26</definedName>
    <definedName name="Other_long_term_liabilities">'Fin. Statements'!$B$36</definedName>
    <definedName name="Preferred_Stock">'Fin. Statements'!$B$38</definedName>
    <definedName name="Prepaid_expenses_and_other_current">'Fin. Statements'!$B$21</definedName>
    <definedName name="_xlnm.Print_Area" localSheetId="3">Efficiency!$B$2:$H$55</definedName>
    <definedName name="_xlnm.Print_Area" localSheetId="1">'Fin. Statements'!$A$3:$K$48</definedName>
    <definedName name="_xlnm.Print_Area" localSheetId="2">'ROI - Profitability'!$B$4:$I$32</definedName>
    <definedName name="Property__Plant__and_Equipment">'Fin. Statements'!$B$23</definedName>
    <definedName name="Provision_for_taxes">'Fin. Statements'!$B$13</definedName>
    <definedName name="Retained_Earnings">'Fin. Statements'!$B$40</definedName>
    <definedName name="Short_term_debt">'Fin. Statements'!$B$29</definedName>
    <definedName name="Total_Assets">'Fin. Statements'!$B$27</definedName>
    <definedName name="Total_Current_Liabilities">'Fin. Statements'!$B$32</definedName>
    <definedName name="Total_Equity">'Fin. Statements'!$B$42</definedName>
    <definedName name="Total_Liabilities">'Fin. Statements'!$B$37</definedName>
    <definedName name="Total_Liabilities_and_Equity">'Fin. Statements'!$B$43</definedName>
  </definedNames>
  <calcPr calcId="171027"/>
</workbook>
</file>

<file path=xl/calcChain.xml><?xml version="1.0" encoding="utf-8"?>
<calcChain xmlns="http://schemas.openxmlformats.org/spreadsheetml/2006/main">
  <c r="G49" i="13" l="1"/>
  <c r="G53" i="13"/>
  <c r="G54" i="13"/>
  <c r="H26" i="17"/>
  <c r="H31" i="17" s="1"/>
  <c r="I30" i="17" s="1"/>
  <c r="D45" i="4"/>
  <c r="C30" i="17"/>
  <c r="C27" i="17"/>
  <c r="G29" i="13"/>
  <c r="G37" i="13"/>
  <c r="G33" i="13" l="1"/>
  <c r="J43" i="4"/>
  <c r="K39" i="4"/>
  <c r="J39" i="4"/>
  <c r="K29" i="4"/>
  <c r="J29" i="4"/>
  <c r="K4" i="4"/>
  <c r="J4" i="4"/>
  <c r="C8" i="17"/>
  <c r="C11" i="17"/>
  <c r="H8" i="17"/>
  <c r="H12" i="17" s="1"/>
  <c r="H16" i="17" s="1"/>
  <c r="C48" i="17"/>
  <c r="G47" i="4" l="1"/>
  <c r="E47" i="4"/>
  <c r="D31" i="4"/>
  <c r="B31" i="4"/>
  <c r="B42" i="4" l="1"/>
  <c r="G46" i="4" l="1"/>
  <c r="E46" i="4"/>
  <c r="F45" i="4"/>
  <c r="G41" i="4"/>
  <c r="G40" i="4"/>
  <c r="G39" i="4"/>
  <c r="G38" i="4"/>
  <c r="G36" i="4"/>
  <c r="G35" i="4"/>
  <c r="G34" i="4"/>
  <c r="G33" i="4"/>
  <c r="G30" i="4"/>
  <c r="G29" i="4"/>
  <c r="G28" i="4"/>
  <c r="G26" i="4"/>
  <c r="G25" i="4"/>
  <c r="G24" i="4"/>
  <c r="G23" i="4"/>
  <c r="G22" i="4"/>
  <c r="G21" i="4"/>
  <c r="G20" i="4" l="1"/>
  <c r="G19" i="4"/>
  <c r="G18" i="4"/>
  <c r="D27" i="4"/>
  <c r="D42" i="4"/>
  <c r="G42" i="4" l="1"/>
  <c r="C16" i="17"/>
  <c r="C20" i="17" s="1"/>
  <c r="B27" i="4"/>
  <c r="G27" i="4" s="1"/>
  <c r="B32" i="4"/>
  <c r="G30" i="13" l="1"/>
  <c r="G38" i="13"/>
  <c r="H37" i="13" s="1"/>
  <c r="C12" i="17"/>
  <c r="B37" i="4"/>
  <c r="B43" i="4" s="1"/>
  <c r="E26" i="4"/>
  <c r="E25" i="4"/>
  <c r="E24" i="4"/>
  <c r="E22" i="4"/>
  <c r="E21" i="4"/>
  <c r="E18" i="4"/>
  <c r="C26" i="4"/>
  <c r="F26" i="4" s="1"/>
  <c r="C25" i="4"/>
  <c r="F25" i="4" s="1"/>
  <c r="C24" i="4"/>
  <c r="C22" i="4"/>
  <c r="C21" i="4"/>
  <c r="F21" i="4" s="1"/>
  <c r="C18" i="4"/>
  <c r="F18" i="4" s="1"/>
  <c r="E23" i="4"/>
  <c r="E20" i="4"/>
  <c r="E19" i="4"/>
  <c r="D17" i="4"/>
  <c r="B17" i="4"/>
  <c r="C23" i="4"/>
  <c r="C20" i="4"/>
  <c r="C19" i="4"/>
  <c r="G13" i="4"/>
  <c r="G12" i="4"/>
  <c r="G11" i="4"/>
  <c r="G9" i="4"/>
  <c r="G7" i="4"/>
  <c r="G6" i="4"/>
  <c r="E13" i="4"/>
  <c r="E12" i="4"/>
  <c r="E11" i="4"/>
  <c r="E9" i="4"/>
  <c r="E7" i="4"/>
  <c r="C13" i="4"/>
  <c r="C12" i="4"/>
  <c r="C11" i="4"/>
  <c r="C9" i="4"/>
  <c r="C7" i="4"/>
  <c r="F22" i="4" l="1"/>
  <c r="F24" i="4"/>
  <c r="G34" i="13"/>
  <c r="H33" i="13" s="1"/>
  <c r="H29" i="13"/>
  <c r="C15" i="17"/>
  <c r="D15" i="17" s="1"/>
  <c r="H21" i="17"/>
  <c r="D11" i="17"/>
  <c r="C33" i="4"/>
  <c r="C39" i="4"/>
  <c r="C35" i="4"/>
  <c r="C31" i="4"/>
  <c r="C42" i="4"/>
  <c r="C43" i="4" s="1"/>
  <c r="C30" i="4"/>
  <c r="C40" i="4"/>
  <c r="C28" i="4"/>
  <c r="C34" i="4"/>
  <c r="C38" i="4"/>
  <c r="C32" i="4"/>
  <c r="C29" i="4"/>
  <c r="C36" i="4"/>
  <c r="C41" i="4"/>
  <c r="C37" i="4"/>
  <c r="G31" i="4"/>
  <c r="D32" i="4"/>
  <c r="C27" i="4"/>
  <c r="E27" i="4"/>
  <c r="F9" i="4"/>
  <c r="F23" i="4"/>
  <c r="F19" i="4"/>
  <c r="F20" i="4"/>
  <c r="F12" i="4"/>
  <c r="F13" i="4"/>
  <c r="F7" i="4"/>
  <c r="F11" i="4"/>
  <c r="C29" i="13"/>
  <c r="C30" i="13"/>
  <c r="C34" i="13"/>
  <c r="C38" i="13"/>
  <c r="C41" i="13" s="1"/>
  <c r="C39" i="13"/>
  <c r="C20" i="13"/>
  <c r="C14" i="13"/>
  <c r="C10" i="13"/>
  <c r="C9" i="13"/>
  <c r="C6" i="13"/>
  <c r="C5" i="13"/>
  <c r="C19" i="13" s="1"/>
  <c r="D8" i="4"/>
  <c r="B8" i="4"/>
  <c r="H7" i="17" s="1"/>
  <c r="I7" i="17" s="1"/>
  <c r="G32" i="4" l="1"/>
  <c r="D37" i="4"/>
  <c r="G8" i="4"/>
  <c r="D10" i="4"/>
  <c r="E8" i="4"/>
  <c r="B10" i="4"/>
  <c r="H11" i="17" s="1"/>
  <c r="I11" i="17" s="1"/>
  <c r="C8" i="4"/>
  <c r="D29" i="13"/>
  <c r="C33" i="13"/>
  <c r="D33" i="13" s="1"/>
  <c r="D19" i="13"/>
  <c r="D9" i="13"/>
  <c r="G10" i="13" s="1"/>
  <c r="H9" i="13" s="1"/>
  <c r="G19" i="13" s="1"/>
  <c r="D5" i="13"/>
  <c r="G6" i="13" s="1"/>
  <c r="H5" i="13" s="1"/>
  <c r="G22" i="13" s="1"/>
  <c r="C13" i="13"/>
  <c r="D13" i="13" s="1"/>
  <c r="G14" i="13" s="1"/>
  <c r="H13" i="13" s="1"/>
  <c r="G20" i="13" s="1"/>
  <c r="G37" i="4" l="1"/>
  <c r="D43" i="4"/>
  <c r="F8" i="4"/>
  <c r="C10" i="4"/>
  <c r="G10" i="4"/>
  <c r="B14" i="4"/>
  <c r="D14" i="4"/>
  <c r="E10" i="4"/>
  <c r="G21" i="13"/>
  <c r="G23" i="13" s="1"/>
  <c r="J5" i="4" l="1"/>
  <c r="J20" i="4" s="1"/>
  <c r="G45" i="13"/>
  <c r="E14" i="4"/>
  <c r="K5" i="4"/>
  <c r="K20" i="4" s="1"/>
  <c r="K42" i="4" s="1"/>
  <c r="K44" i="4" s="1"/>
  <c r="C7" i="17"/>
  <c r="C47" i="17"/>
  <c r="D47" i="17" s="1"/>
  <c r="H15" i="17"/>
  <c r="I15" i="17" s="1"/>
  <c r="C37" i="13"/>
  <c r="C40" i="13" s="1"/>
  <c r="D39" i="13" s="1"/>
  <c r="G43" i="4"/>
  <c r="E29" i="4"/>
  <c r="F29" i="4" s="1"/>
  <c r="E38" i="4"/>
  <c r="F38" i="4" s="1"/>
  <c r="E35" i="4"/>
  <c r="F35" i="4" s="1"/>
  <c r="E40" i="4"/>
  <c r="F40" i="4" s="1"/>
  <c r="E31" i="4"/>
  <c r="F31" i="4" s="1"/>
  <c r="E34" i="4"/>
  <c r="F34" i="4" s="1"/>
  <c r="E36" i="4"/>
  <c r="F36" i="4" s="1"/>
  <c r="E33" i="4"/>
  <c r="F33" i="4" s="1"/>
  <c r="E28" i="4"/>
  <c r="F28" i="4" s="1"/>
  <c r="E30" i="4"/>
  <c r="F30" i="4" s="1"/>
  <c r="E32" i="4"/>
  <c r="F32" i="4" s="1"/>
  <c r="E41" i="4"/>
  <c r="F41" i="4" s="1"/>
  <c r="E39" i="4"/>
  <c r="F39" i="4" s="1"/>
  <c r="E42" i="4"/>
  <c r="F42" i="4" s="1"/>
  <c r="E37" i="4"/>
  <c r="G14" i="4"/>
  <c r="C14" i="4"/>
  <c r="F10" i="4"/>
  <c r="F14" i="4" l="1"/>
  <c r="C26" i="17"/>
  <c r="D26" i="17" s="1"/>
  <c r="H27" i="17" s="1"/>
  <c r="I26" i="17" s="1"/>
  <c r="C31" i="17"/>
  <c r="D30" i="17" s="1"/>
  <c r="G44" i="13"/>
  <c r="G52" i="13"/>
  <c r="H52" i="13" s="1"/>
  <c r="J42" i="4"/>
  <c r="J44" i="4" s="1"/>
  <c r="H20" i="17"/>
  <c r="I20" i="17" s="1"/>
  <c r="D7" i="17"/>
  <c r="C19" i="17"/>
  <c r="D19" i="17" s="1"/>
  <c r="E43" i="4"/>
  <c r="F37" i="4"/>
  <c r="H44" i="13" l="1"/>
  <c r="G48" i="13"/>
  <c r="H48" i="13" s="1"/>
</calcChain>
</file>

<file path=xl/comments1.xml><?xml version="1.0" encoding="utf-8"?>
<comments xmlns="http://schemas.openxmlformats.org/spreadsheetml/2006/main">
  <authors>
    <author>user</author>
    <author>Sean Anderson</author>
  </authors>
  <commentList>
    <comment ref="B5" authorId="0" shapeId="0">
      <text>
        <r>
          <rPr>
            <b/>
            <sz val="9"/>
            <color indexed="81"/>
            <rFont val="Tahoma"/>
            <family val="2"/>
          </rPr>
          <t>Provide a year for the whole spreadsheet</t>
        </r>
      </text>
    </comment>
    <comment ref="D5" authorId="0" shapeId="0">
      <text>
        <r>
          <rPr>
            <b/>
            <sz val="9"/>
            <color indexed="81"/>
            <rFont val="Tahoma"/>
            <family val="2"/>
          </rPr>
          <t>Provide a year for the whole spreadsheet.</t>
        </r>
      </text>
    </comment>
    <comment ref="D47" authorId="1" shapeId="0">
      <text>
        <r>
          <rPr>
            <b/>
            <sz val="9"/>
            <color indexed="81"/>
            <rFont val="Tahoma"/>
            <family val="2"/>
          </rPr>
          <t>Issued outstanding</t>
        </r>
      </text>
    </comment>
    <comment ref="F47" authorId="1" shapeId="0">
      <text>
        <r>
          <rPr>
            <b/>
            <sz val="9"/>
            <color indexed="81"/>
            <rFont val="Tahoma"/>
            <family val="2"/>
          </rPr>
          <t>Issued outstanding</t>
        </r>
      </text>
    </comment>
  </commentList>
</comments>
</file>

<file path=xl/comments2.xml><?xml version="1.0" encoding="utf-8"?>
<comments xmlns="http://schemas.openxmlformats.org/spreadsheetml/2006/main">
  <authors>
    <author>Sean Anderson</author>
  </authors>
  <commentList>
    <comment ref="B4" authorId="0" shapeId="0">
      <text>
        <r>
          <rPr>
            <b/>
            <sz val="9"/>
            <color indexed="81"/>
            <rFont val="Tahoma"/>
            <family val="2"/>
          </rPr>
          <t>Return On Investment Analysis</t>
        </r>
      </text>
    </comment>
    <comment ref="B18" authorId="0" shapeId="0">
      <text>
        <r>
          <rPr>
            <b/>
            <sz val="9"/>
            <color indexed="81"/>
            <rFont val="Tahoma"/>
            <family val="2"/>
          </rPr>
          <t>This can also be calculated using Return on Assets% * Assets-to-Equity Ratio</t>
        </r>
      </text>
    </comment>
    <comment ref="G19" authorId="0" shapeId="0">
      <text>
        <r>
          <rPr>
            <b/>
            <sz val="9"/>
            <color indexed="81"/>
            <rFont val="Tahoma"/>
            <family val="2"/>
          </rPr>
          <t xml:space="preserve">This can also be calculated using Net Profit Margin * Total Assets Turnover Ratio </t>
        </r>
      </text>
    </comment>
  </commentList>
</comments>
</file>

<file path=xl/comments3.xml><?xml version="1.0" encoding="utf-8"?>
<comments xmlns="http://schemas.openxmlformats.org/spreadsheetml/2006/main">
  <authors>
    <author>Sean Anderson</author>
  </authors>
  <commentList>
    <comment ref="B28" authorId="0" shapeId="0">
      <text>
        <r>
          <rPr>
            <b/>
            <sz val="9"/>
            <color indexed="81"/>
            <rFont val="Tahoma"/>
            <family val="2"/>
          </rPr>
          <t>Liabilities as a percentage of assets</t>
        </r>
      </text>
    </comment>
    <comment ref="F32" authorId="0" shapeId="0">
      <text>
        <r>
          <rPr>
            <b/>
            <sz val="9"/>
            <color indexed="81"/>
            <rFont val="Tahoma"/>
            <family val="2"/>
          </rPr>
          <t>Liabilities as a percentage of assets</t>
        </r>
      </text>
    </comment>
    <comment ref="B36" authorId="0" shapeId="0">
      <text>
        <r>
          <rPr>
            <b/>
            <sz val="9"/>
            <color indexed="81"/>
            <rFont val="Tahoma"/>
            <family val="2"/>
          </rPr>
          <t>This analysis adds the interest expense and tax provision back into net income and then divides that sum by the interest expense in order to show the company's ability to pay interest payments.</t>
        </r>
      </text>
    </comment>
    <comment ref="F36" authorId="0" shapeId="0">
      <text>
        <r>
          <rPr>
            <b/>
            <sz val="9"/>
            <color indexed="81"/>
            <rFont val="Tahoma"/>
            <family val="2"/>
          </rPr>
          <t>Liabilities as a percentage of assets</t>
        </r>
      </text>
    </comment>
    <comment ref="C38" authorId="0" shapeId="0">
      <text>
        <r>
          <rPr>
            <b/>
            <sz val="9"/>
            <color indexed="81"/>
            <rFont val="Tahoma"/>
            <family val="2"/>
          </rPr>
          <t>Interest Expense is not a used as a negative number in this calculation, it is added back into net income</t>
        </r>
      </text>
    </comment>
    <comment ref="C39" authorId="0" shapeId="0">
      <text>
        <r>
          <rPr>
            <b/>
            <sz val="9"/>
            <color indexed="81"/>
            <rFont val="Tahoma"/>
            <family val="2"/>
          </rPr>
          <t>Interest is paid BEFORE taxes (interest expense is a tax deduction) so it makes sense to add back tax provisions to net income for this calculation</t>
        </r>
      </text>
    </comment>
    <comment ref="D39" authorId="0" shapeId="0">
      <text>
        <r>
          <rPr>
            <b/>
            <sz val="9"/>
            <color indexed="81"/>
            <rFont val="Tahoma"/>
            <family val="2"/>
          </rPr>
          <t>How many times the company could possibly pay current interest charges.</t>
        </r>
      </text>
    </comment>
  </commentList>
</comments>
</file>

<file path=xl/sharedStrings.xml><?xml version="1.0" encoding="utf-8"?>
<sst xmlns="http://schemas.openxmlformats.org/spreadsheetml/2006/main" count="305" uniqueCount="249">
  <si>
    <t>Assets</t>
  </si>
  <si>
    <t>Accounts Receivable</t>
  </si>
  <si>
    <t>Inventory</t>
  </si>
  <si>
    <t>Accounts Payable</t>
  </si>
  <si>
    <t>Cost of Goods Sold</t>
  </si>
  <si>
    <t>Interest Expense</t>
  </si>
  <si>
    <t>Income Statement</t>
  </si>
  <si>
    <t>Expenses</t>
  </si>
  <si>
    <t>Interest</t>
  </si>
  <si>
    <t>Balance Sheet</t>
  </si>
  <si>
    <t>Liabilities</t>
  </si>
  <si>
    <t>Equity</t>
  </si>
  <si>
    <t>Income</t>
  </si>
  <si>
    <t>Code</t>
  </si>
  <si>
    <t>Automobiles &amp; Trucks</t>
  </si>
  <si>
    <t>Buildings</t>
  </si>
  <si>
    <t>Cash Account</t>
  </si>
  <si>
    <t>Deposits Held</t>
  </si>
  <si>
    <t>Land</t>
  </si>
  <si>
    <t>Leasehold Improvements</t>
  </si>
  <si>
    <t>Machinery/Equipment/Tools</t>
  </si>
  <si>
    <t>Furniture/Fixtures</t>
  </si>
  <si>
    <t>Organizational Fees</t>
  </si>
  <si>
    <t>Petty Cash</t>
  </si>
  <si>
    <t>Prepaid Insurance/Interest</t>
  </si>
  <si>
    <t>Register Bank</t>
  </si>
  <si>
    <t>Savings Account</t>
  </si>
  <si>
    <t>Accounts Payable - Trade</t>
  </si>
  <si>
    <t>Accrued Interest</t>
  </si>
  <si>
    <t>Accrued Payroll Taxes - Other Taxes</t>
  </si>
  <si>
    <t>Accrued Salaries/Payroll</t>
  </si>
  <si>
    <t>City Tax Withheld</t>
  </si>
  <si>
    <t>Federal Tax Withheld</t>
  </si>
  <si>
    <t>FICA Withheld</t>
  </si>
  <si>
    <t>Loans</t>
  </si>
  <si>
    <t>Note Payable</t>
  </si>
  <si>
    <t>Other Withheld</t>
  </si>
  <si>
    <t>Sales Tax Payable</t>
  </si>
  <si>
    <t>State Tax Payable</t>
  </si>
  <si>
    <t>Commissions Earned</t>
  </si>
  <si>
    <t>Discounts Allowed</t>
  </si>
  <si>
    <t>Interest Allowed</t>
  </si>
  <si>
    <t>Misc Income</t>
  </si>
  <si>
    <t>Rental Income</t>
  </si>
  <si>
    <t>Sales Income</t>
  </si>
  <si>
    <t>Shortages/Overages</t>
  </si>
  <si>
    <t>Accounting Service</t>
  </si>
  <si>
    <t>Affadavits</t>
  </si>
  <si>
    <t>Advertising</t>
  </si>
  <si>
    <t>Amortization</t>
  </si>
  <si>
    <t>Bad Debts</t>
  </si>
  <si>
    <t>Bank Service Charges</t>
  </si>
  <si>
    <t>Business Insurance</t>
  </si>
  <si>
    <t>Casual Labor</t>
  </si>
  <si>
    <t>Corporate City Tax</t>
  </si>
  <si>
    <t xml:space="preserve">Commissions </t>
  </si>
  <si>
    <t>Depreciation</t>
  </si>
  <si>
    <t>Dues &amp; Subscriptions</t>
  </si>
  <si>
    <t>Employers Portion FICA</t>
  </si>
  <si>
    <t>Entertainment</t>
  </si>
  <si>
    <t>Equipment Rental</t>
  </si>
  <si>
    <t>Equipment Repairs</t>
  </si>
  <si>
    <t>Federal Employment Tax</t>
  </si>
  <si>
    <t>Franchise Tax</t>
  </si>
  <si>
    <t>Frieght/Shipping</t>
  </si>
  <si>
    <t>Healthcare Insurance</t>
  </si>
  <si>
    <t>Legal Fees</t>
  </si>
  <si>
    <t>License/Permits</t>
  </si>
  <si>
    <t>Lodging</t>
  </si>
  <si>
    <t>Meals</t>
  </si>
  <si>
    <t>Medical Reimbursement</t>
  </si>
  <si>
    <t>Misc Expenses</t>
  </si>
  <si>
    <t>NSF Checks</t>
  </si>
  <si>
    <t>Office Supply</t>
  </si>
  <si>
    <t>Payroll - Officers</t>
  </si>
  <si>
    <t>Payroll - Regular</t>
  </si>
  <si>
    <t>Pension/Profit Sharing Plan</t>
  </si>
  <si>
    <t>Personal Property Tax</t>
  </si>
  <si>
    <t>Postage/Fax</t>
  </si>
  <si>
    <t>Refunds</t>
  </si>
  <si>
    <t>Rent - Office/Warehouse</t>
  </si>
  <si>
    <t>Repairs and Maintenance</t>
  </si>
  <si>
    <t>Seminars</t>
  </si>
  <si>
    <t>Small Tools</t>
  </si>
  <si>
    <t>State Unemployment Tax</t>
  </si>
  <si>
    <t>Sub-Contractor Labor</t>
  </si>
  <si>
    <t>Supplies-Computer</t>
  </si>
  <si>
    <t>Supplies - General</t>
  </si>
  <si>
    <t>Taxes - Other</t>
  </si>
  <si>
    <t>Telephone/Internet</t>
  </si>
  <si>
    <t>Trash Collection</t>
  </si>
  <si>
    <t>Travel</t>
  </si>
  <si>
    <t>Uniform Rental</t>
  </si>
  <si>
    <t>Utilities - Electric/Heat</t>
  </si>
  <si>
    <t>Utilities - Water</t>
  </si>
  <si>
    <t>Vehicle Fuel</t>
  </si>
  <si>
    <t>Workers Compensation</t>
  </si>
  <si>
    <t>Printing/Artwork</t>
  </si>
  <si>
    <t>Purchases for Resale</t>
  </si>
  <si>
    <t>Real Estate Tax</t>
  </si>
  <si>
    <t>Chart of Accounts</t>
  </si>
  <si>
    <t>Transfer - Clearing</t>
  </si>
  <si>
    <t>Sans-Income Statement</t>
  </si>
  <si>
    <t>Draw Account - Personal</t>
  </si>
  <si>
    <t>=</t>
  </si>
  <si>
    <t>Net Sales</t>
  </si>
  <si>
    <t>Gross Profit</t>
  </si>
  <si>
    <t>Operating Income</t>
  </si>
  <si>
    <t>Other Income/(Expense)</t>
  </si>
  <si>
    <t>Provision for taxes</t>
  </si>
  <si>
    <t>Net Income</t>
  </si>
  <si>
    <t>Recent Year</t>
  </si>
  <si>
    <t>Operating Expenses</t>
  </si>
  <si>
    <t>Inventories</t>
  </si>
  <si>
    <t>Property, Plant, and Equipment</t>
  </si>
  <si>
    <t>Total Assets</t>
  </si>
  <si>
    <t>Total Liabilities</t>
  </si>
  <si>
    <t>Total Equity</t>
  </si>
  <si>
    <t>Last Year</t>
  </si>
  <si>
    <t>Net Profit Margin</t>
  </si>
  <si>
    <t>Total Assets Turnover Ratio</t>
  </si>
  <si>
    <t>Average Total Assets</t>
  </si>
  <si>
    <t>Assets to Equity Ratio</t>
  </si>
  <si>
    <t>Average Total Stockholders Equity</t>
  </si>
  <si>
    <t>Return on Equity</t>
  </si>
  <si>
    <t>Average Total Stockholder's Equity</t>
  </si>
  <si>
    <t>Return on Assets</t>
  </si>
  <si>
    <t>X</t>
  </si>
  <si>
    <t>Profitability Analysis</t>
  </si>
  <si>
    <t>Gross Profit Margin</t>
  </si>
  <si>
    <t xml:space="preserve">Gross Profit </t>
  </si>
  <si>
    <t>Operating Profit Margin</t>
  </si>
  <si>
    <t xml:space="preserve">Average Accounts Receivable </t>
  </si>
  <si>
    <t>Number of Days' Sales in Receivables</t>
  </si>
  <si>
    <t>Days-in-a-year</t>
  </si>
  <si>
    <t>Accounts Receivable Turnover Ratio</t>
  </si>
  <si>
    <t>Inventory Turnover Ratio</t>
  </si>
  <si>
    <t>Average Inventory</t>
  </si>
  <si>
    <t>Number of Days' Sales in Inventory</t>
  </si>
  <si>
    <t>Accounts Payable Turnover Ratio</t>
  </si>
  <si>
    <t>Average Accounts Payable</t>
  </si>
  <si>
    <t>Number of Days' Purchases in Accounts Payable</t>
  </si>
  <si>
    <t>Acounts Payable Turnover Ratio</t>
  </si>
  <si>
    <t>Cash-to-Cash Cycle</t>
  </si>
  <si>
    <t>Net Number of Days Cash Invested in Inventory</t>
  </si>
  <si>
    <t>Cash-to-Cash Days</t>
  </si>
  <si>
    <t>Fixed Asset Turnover Ratio</t>
  </si>
  <si>
    <t>Average Net Fixed Assets</t>
  </si>
  <si>
    <t>Debt %</t>
  </si>
  <si>
    <t>Debt-to-Equity Ratio</t>
  </si>
  <si>
    <t>Total Stockholders' Equity</t>
  </si>
  <si>
    <t>Times Interest Earned Ratio</t>
  </si>
  <si>
    <t>Leverage Indicators and Interest Coverage</t>
  </si>
  <si>
    <t>Non Cash Cycle</t>
  </si>
  <si>
    <t>Sum (Adjusted net income)</t>
  </si>
  <si>
    <t>less Number of Days' Purchases in Accounts Payable</t>
  </si>
  <si>
    <t>Total % of
Net Sales</t>
  </si>
  <si>
    <t>Total % of 
Balance</t>
  </si>
  <si>
    <t>+</t>
  </si>
  <si>
    <t>Cash</t>
  </si>
  <si>
    <t xml:space="preserve">Prepaid expenses and other current </t>
  </si>
  <si>
    <t>Deferred income taxes</t>
  </si>
  <si>
    <t>Other Assets</t>
  </si>
  <si>
    <t>Goodwill</t>
  </si>
  <si>
    <t>Other intangible assets</t>
  </si>
  <si>
    <t>Current portion long-term debt</t>
  </si>
  <si>
    <t>Short-term debt</t>
  </si>
  <si>
    <t>Accrued liabilities</t>
  </si>
  <si>
    <t>Total Current Liabilities</t>
  </si>
  <si>
    <t>Long term debt less short portion</t>
  </si>
  <si>
    <t>Deferred revenue</t>
  </si>
  <si>
    <t>Income Statement and Balanace Sheet Summaries</t>
  </si>
  <si>
    <t>$Change over
Last Year</t>
  </si>
  <si>
    <t>%Change over
Last Year</t>
  </si>
  <si>
    <t>Preferred Stock</t>
  </si>
  <si>
    <t>Common Stock</t>
  </si>
  <si>
    <t>Retained Earnings</t>
  </si>
  <si>
    <t>Accumulated other loss</t>
  </si>
  <si>
    <t>Total Liabilities and Equity</t>
  </si>
  <si>
    <t>DuPont ROI Analysis</t>
  </si>
  <si>
    <t>Other long term liabilities</t>
  </si>
  <si>
    <t>Shares of Common Stock</t>
  </si>
  <si>
    <t>Shares of Preferred Stock</t>
  </si>
  <si>
    <t>Par Value</t>
  </si>
  <si>
    <t>Net Income - Preferred Dividends</t>
  </si>
  <si>
    <t>Earnings Per Share</t>
  </si>
  <si>
    <t>Value</t>
  </si>
  <si>
    <t>Authorized</t>
  </si>
  <si>
    <t>Avg Outstanding shares</t>
  </si>
  <si>
    <t>Cash Cycle Efficiency Analysis</t>
  </si>
  <si>
    <t>Bold numbers are calculated, click Clear Data to start over. Careful, no undo!</t>
  </si>
  <si>
    <t>Past Year</t>
  </si>
  <si>
    <t>Working Capital</t>
  </si>
  <si>
    <t>Total Current Assets</t>
  </si>
  <si>
    <t>less Total Current Liabilities</t>
  </si>
  <si>
    <t>Current Ratio</t>
  </si>
  <si>
    <t>Quick Ratio</t>
  </si>
  <si>
    <t>Ready Cash</t>
  </si>
  <si>
    <t>Liquidity (Can we pay the bills?)</t>
  </si>
  <si>
    <t>Cash flow from operating activities:</t>
  </si>
  <si>
    <t>Cash Flow Statement (Indirect)</t>
  </si>
  <si>
    <t>Adjustments to reconcile net income to net cash provided by operating activities</t>
  </si>
  <si>
    <t>Provisions for depreciation, amortization, and impairment losses</t>
  </si>
  <si>
    <t>Noncash (income) loss from affiliates</t>
  </si>
  <si>
    <t>Gain on disposal of property, plant, and equipment</t>
  </si>
  <si>
    <t>(Increase) decrease in deferred income taxes</t>
  </si>
  <si>
    <t>Stock-based compensation expense</t>
  </si>
  <si>
    <t>Changes in operating assets and liabilities, net of effect of acquisitions:</t>
  </si>
  <si>
    <t>Receivables, net</t>
  </si>
  <si>
    <t>Inventories, net</t>
  </si>
  <si>
    <t>Prepaid expenses and other assets</t>
  </si>
  <si>
    <t>Accounts payable, accrued liabilities, deferred revenue, and other long-term liabilities</t>
  </si>
  <si>
    <t>Net cash from operations</t>
  </si>
  <si>
    <t>Cash flows from investing activity:</t>
  </si>
  <si>
    <t>Purchases of property, plant, and equipment</t>
  </si>
  <si>
    <t>Proceeds from asset disposal</t>
  </si>
  <si>
    <t>Distributions from (investments in) finance affiliate, net</t>
  </si>
  <si>
    <t>(Increase) decrease in other assets</t>
  </si>
  <si>
    <t>Acquisitions, net of cash acquired</t>
  </si>
  <si>
    <t>Net cash used in investing activity</t>
  </si>
  <si>
    <t>(Decrease) increase in shrot-term debt, net</t>
  </si>
  <si>
    <t>Repayments of long-term debt</t>
  </si>
  <si>
    <t>Excess tax benefits from stock-based awards</t>
  </si>
  <si>
    <t>Proceeds from exercise of stock options</t>
  </si>
  <si>
    <t>Purchases of common stock</t>
  </si>
  <si>
    <t>Dividends paid</t>
  </si>
  <si>
    <t>Net cash used in finance activity</t>
  </si>
  <si>
    <t>Effect of exchange rate on cash</t>
  </si>
  <si>
    <t>Net increase (decrease) in cash</t>
  </si>
  <si>
    <t>End of year cash</t>
  </si>
  <si>
    <t>Beginning of year cash</t>
  </si>
  <si>
    <t>Cash flows from financing activity:</t>
  </si>
  <si>
    <t>Cash Flow to Net Income Ratio</t>
  </si>
  <si>
    <t>Cash flow from operations</t>
  </si>
  <si>
    <t>Cash Flow Indicators (Earnings Quality)</t>
  </si>
  <si>
    <t>Cash Flow Adequacy Ratio</t>
  </si>
  <si>
    <t>Purchases of PP&amp;E less Asset Disposal</t>
  </si>
  <si>
    <t>Free Cash Flow</t>
  </si>
  <si>
    <t>Purchases of PP&amp;E</t>
  </si>
  <si>
    <t>Equity Investor Indicators</t>
  </si>
  <si>
    <t>Net Income less Dividends on preferred stock</t>
  </si>
  <si>
    <t>Average common shares outstanding</t>
  </si>
  <si>
    <t>Dividend Payout %</t>
  </si>
  <si>
    <t>Total Cash Dividends Declared</t>
  </si>
  <si>
    <t>Price-Earnings Ratio</t>
  </si>
  <si>
    <t>Year End Common Share Price</t>
  </si>
  <si>
    <t>Year End Market Price</t>
  </si>
  <si>
    <t>Dividend Yield %</t>
  </si>
  <si>
    <t>Cash dividend per common share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</si>
</sst>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43" formatCode="_(* #,##0.00_);_(* \(#,##0.00\);_(* &quot;-&quot;??_);_(@_)"/>
    <numFmt numFmtId="164" formatCode="0.00_);\(0.00\)"/>
    <numFmt numFmtId="165" formatCode="_(&quot;$&quot;* #,##0_);_(&quot;$&quot;* \(#,##0\);_(&quot;$&quot;* &quot;-&quot;??_);_(@_)"/>
    <numFmt numFmtId="166" formatCode="_(* #,##0_);_(* \(#,##0\);_(* &quot;-&quot;??_);_(@_)"/>
    <numFmt numFmtId="167" formatCode="_(&quot;$&quot;* #,##0.000_);_(&quot;$&quot;* \(#,##0.000\);_(&quot;$&quot;* &quot;-&quot;??_);_(@_)"/>
  </numFmts>
  <fonts count="19" x14ac:knownFonts="1">
    <font>
      <sz val="11"/>
      <color theme="1"/>
      <name val="Gill Sans MT"/>
      <family val="2"/>
      <scheme val="minor"/>
    </font>
    <font>
      <sz val="11"/>
      <color theme="1"/>
      <name val="Gill Sans MT"/>
      <family val="2"/>
      <scheme val="minor"/>
    </font>
    <font>
      <b/>
      <sz val="11"/>
      <color theme="1"/>
      <name val="Gill Sans MT"/>
      <family val="2"/>
      <scheme val="minor"/>
    </font>
    <font>
      <b/>
      <sz val="12"/>
      <color theme="1"/>
      <name val="Gill Sans MT"/>
      <family val="2"/>
      <scheme val="minor"/>
    </font>
    <font>
      <b/>
      <sz val="11"/>
      <color rgb="FF3F3F3F"/>
      <name val="Gill Sans MT"/>
      <family val="2"/>
      <scheme val="minor"/>
    </font>
    <font>
      <b/>
      <sz val="14"/>
      <color theme="1"/>
      <name val="Gill Sans MT"/>
      <family val="2"/>
      <scheme val="minor"/>
    </font>
    <font>
      <b/>
      <sz val="20"/>
      <color rgb="FF3F3F3F"/>
      <name val="Gill Sans MT"/>
      <family val="2"/>
      <scheme val="minor"/>
    </font>
    <font>
      <b/>
      <sz val="11"/>
      <color theme="3"/>
      <name val="Gill Sans MT"/>
      <family val="2"/>
      <scheme val="minor"/>
    </font>
    <font>
      <sz val="11"/>
      <name val="Gill Sans MT"/>
      <family val="2"/>
      <scheme val="minor"/>
    </font>
    <font>
      <b/>
      <sz val="9"/>
      <color indexed="81"/>
      <name val="Tahoma"/>
      <family val="2"/>
    </font>
    <font>
      <b/>
      <sz val="16"/>
      <color theme="1"/>
      <name val="Gill Sans MT"/>
      <family val="2"/>
      <scheme val="minor"/>
    </font>
    <font>
      <u/>
      <sz val="11"/>
      <color theme="1"/>
      <name val="Gill Sans MT"/>
      <family val="2"/>
      <scheme val="minor"/>
    </font>
    <font>
      <b/>
      <sz val="11"/>
      <color theme="8" tint="-0.499984740745262"/>
      <name val="Gill Sans MT"/>
      <family val="2"/>
      <scheme val="minor"/>
    </font>
    <font>
      <b/>
      <sz val="9"/>
      <color theme="1"/>
      <name val="Gill Sans MT"/>
      <family val="2"/>
      <scheme val="minor"/>
    </font>
    <font>
      <b/>
      <sz val="11"/>
      <color rgb="FF000000"/>
      <name val="Gill Sans MT"/>
      <family val="2"/>
    </font>
    <font>
      <b/>
      <sz val="10"/>
      <color theme="0" tint="-0.499984740745262"/>
      <name val="Gill Sans MT"/>
      <family val="2"/>
      <scheme val="minor"/>
    </font>
    <font>
      <b/>
      <sz val="11"/>
      <color theme="0" tint="-0.14999847407452621"/>
      <name val="Gill Sans MT"/>
      <family val="2"/>
      <scheme val="minor"/>
    </font>
    <font>
      <sz val="11"/>
      <color theme="0" tint="-0.14999847407452621"/>
      <name val="Gill Sans MT"/>
      <family val="2"/>
      <scheme val="minor"/>
    </font>
    <font>
      <b/>
      <sz val="14"/>
      <color theme="1"/>
      <name val="Gill Sans MT"/>
      <family val="2"/>
      <scheme val="major"/>
    </font>
  </fonts>
  <fills count="26">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9" tint="0.79998168889431442"/>
        <bgColor indexed="65"/>
      </patternFill>
    </fill>
    <fill>
      <patternFill patternType="solid">
        <fgColor theme="8" tint="0.79998168889431442"/>
        <bgColor indexed="6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gray0625"/>
    </fill>
    <fill>
      <patternFill patternType="solid">
        <fgColor rgb="FFFFFF00"/>
        <bgColor indexed="64"/>
      </patternFill>
    </fill>
    <fill>
      <patternFill patternType="solid">
        <fgColor rgb="FFCC99FF"/>
        <bgColor indexed="64"/>
      </patternFill>
    </fill>
    <fill>
      <patternFill patternType="solid">
        <fgColor rgb="FFE2C5FF"/>
        <bgColor indexed="64"/>
      </patternFill>
    </fill>
    <fill>
      <patternFill patternType="solid">
        <fgColor rgb="FFFFFFAB"/>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67955565050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bottom style="thin">
        <color rgb="FF3F3F3F"/>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mediumDashed">
        <color auto="1"/>
      </right>
      <top style="mediumDashed">
        <color auto="1"/>
      </top>
      <bottom/>
      <diagonal/>
    </border>
    <border>
      <left/>
      <right style="mediumDashed">
        <color auto="1"/>
      </right>
      <top/>
      <bottom/>
      <diagonal/>
    </border>
    <border>
      <left style="thin">
        <color indexed="64"/>
      </left>
      <right style="mediumDashed">
        <color auto="1"/>
      </right>
      <top/>
      <bottom/>
      <diagonal/>
    </border>
    <border>
      <left/>
      <right/>
      <top/>
      <bottom style="mediumDashed">
        <color auto="1"/>
      </bottom>
      <diagonal/>
    </border>
    <border>
      <left/>
      <right style="mediumDashed">
        <color auto="1"/>
      </right>
      <top/>
      <bottom style="mediumDashed">
        <color auto="1"/>
      </bottom>
      <diagonal/>
    </border>
    <border>
      <left style="thin">
        <color indexed="64"/>
      </left>
      <right style="mediumDashed">
        <color indexed="64"/>
      </right>
      <top style="thin">
        <color indexed="64"/>
      </top>
      <bottom style="thin">
        <color indexed="64"/>
      </bottom>
      <diagonal/>
    </border>
    <border>
      <left style="thin">
        <color indexed="64"/>
      </left>
      <right style="mediumDashed">
        <color indexed="64"/>
      </right>
      <top style="thin">
        <color indexed="64"/>
      </top>
      <bottom/>
      <diagonal/>
    </border>
    <border>
      <left style="thin">
        <color indexed="64"/>
      </left>
      <right style="mediumDashed">
        <color indexed="64"/>
      </right>
      <top/>
      <bottom style="thin">
        <color indexed="64"/>
      </bottom>
      <diagonal/>
    </border>
    <border>
      <left/>
      <right style="mediumDashed">
        <color auto="1"/>
      </right>
      <top style="thin">
        <color indexed="64"/>
      </top>
      <bottom style="mediumDashed">
        <color indexed="64"/>
      </bottom>
      <diagonal/>
    </border>
    <border>
      <left/>
      <right/>
      <top style="thin">
        <color indexed="64"/>
      </top>
      <bottom style="mediumDashed">
        <color indexed="64"/>
      </bottom>
      <diagonal/>
    </border>
    <border>
      <left style="mediumDashed">
        <color indexed="64"/>
      </left>
      <right/>
      <top style="mediumDashed">
        <color indexed="64"/>
      </top>
      <bottom style="mediumDashed">
        <color indexed="64"/>
      </bottom>
      <diagonal/>
    </border>
    <border>
      <left/>
      <right/>
      <top style="mediumDashed">
        <color indexed="64"/>
      </top>
      <bottom style="mediumDashed">
        <color indexed="64"/>
      </bottom>
      <diagonal/>
    </border>
    <border>
      <left/>
      <right style="mediumDashed">
        <color indexed="64"/>
      </right>
      <top style="mediumDashed">
        <color indexed="64"/>
      </top>
      <bottom style="mediumDashed">
        <color indexed="64"/>
      </bottom>
      <diagonal/>
    </border>
    <border>
      <left style="mediumDashed">
        <color indexed="64"/>
      </left>
      <right style="thin">
        <color indexed="64"/>
      </right>
      <top style="mediumDashed">
        <color indexed="64"/>
      </top>
      <bottom style="mediumDashed">
        <color indexed="64"/>
      </bottom>
      <diagonal/>
    </border>
    <border>
      <left style="thin">
        <color indexed="64"/>
      </left>
      <right style="thin">
        <color indexed="64"/>
      </right>
      <top style="mediumDashed">
        <color indexed="64"/>
      </top>
      <bottom style="mediumDashed">
        <color indexed="64"/>
      </bottom>
      <diagonal/>
    </border>
    <border>
      <left style="thin">
        <color indexed="64"/>
      </left>
      <right style="mediumDashed">
        <color indexed="64"/>
      </right>
      <top style="mediumDashed">
        <color indexed="64"/>
      </top>
      <bottom style="mediumDash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bottom/>
      <diagonal/>
    </border>
    <border>
      <left style="thin">
        <color rgb="FF3F3F3F"/>
      </left>
      <right style="thin">
        <color rgb="FF3F3F3F"/>
      </right>
      <top/>
      <bottom/>
      <diagonal/>
    </border>
    <border>
      <left style="thin">
        <color indexed="64"/>
      </left>
      <right style="thick">
        <color indexed="64"/>
      </right>
      <top style="thin">
        <color indexed="64"/>
      </top>
      <bottom/>
      <diagonal/>
    </border>
    <border>
      <left/>
      <right style="thin">
        <color indexed="64"/>
      </right>
      <top/>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style="medium">
        <color indexed="64"/>
      </left>
      <right style="thick">
        <color indexed="64"/>
      </right>
      <top style="medium">
        <color indexed="64"/>
      </top>
      <bottom style="medium">
        <color indexed="64"/>
      </bottom>
      <diagonal/>
    </border>
    <border>
      <left style="thin">
        <color indexed="64"/>
      </left>
      <right style="thick">
        <color indexed="64"/>
      </right>
      <top/>
      <bottom style="thin">
        <color indexed="64"/>
      </bottom>
      <diagonal/>
    </border>
    <border>
      <left/>
      <right style="thin">
        <color indexed="64"/>
      </right>
      <top/>
      <bottom style="thin">
        <color indexed="64"/>
      </bottom>
      <diagonal/>
    </border>
    <border>
      <left/>
      <right style="mediumDashed">
        <color auto="1"/>
      </right>
      <top/>
      <bottom style="thin">
        <color indexed="64"/>
      </bottom>
      <diagonal/>
    </border>
    <border>
      <left style="thin">
        <color indexed="64"/>
      </left>
      <right/>
      <top/>
      <bottom/>
      <diagonal/>
    </border>
    <border>
      <left/>
      <right/>
      <top style="mediumDashed">
        <color indexed="64"/>
      </top>
      <bottom/>
      <diagonal/>
    </border>
    <border>
      <left style="medium">
        <color indexed="64"/>
      </left>
      <right style="medium">
        <color indexed="64"/>
      </right>
      <top style="medium">
        <color indexed="64"/>
      </top>
      <bottom style="medium">
        <color indexed="64"/>
      </bottom>
      <diagonal/>
    </border>
    <border>
      <left/>
      <right style="mediumDashed">
        <color indexed="64"/>
      </right>
      <top style="thin">
        <color indexed="64"/>
      </top>
      <bottom/>
      <diagonal/>
    </border>
    <border>
      <left style="mediumDashed">
        <color indexed="64"/>
      </left>
      <right/>
      <top/>
      <bottom/>
      <diagonal/>
    </border>
    <border>
      <left/>
      <right style="mediumDashed">
        <color theme="0" tint="-0.499984740745262"/>
      </right>
      <top style="thin">
        <color indexed="64"/>
      </top>
      <bottom/>
      <diagonal/>
    </border>
    <border>
      <left/>
      <right style="mediumDashed">
        <color theme="0" tint="-0.499984740745262"/>
      </right>
      <top/>
      <bottom style="thin">
        <color indexed="64"/>
      </bottom>
      <diagonal/>
    </border>
    <border>
      <left style="thin">
        <color indexed="64"/>
      </left>
      <right style="mediumDashed">
        <color theme="0" tint="-0.499984740745262"/>
      </right>
      <top style="thin">
        <color indexed="64"/>
      </top>
      <bottom/>
      <diagonal/>
    </border>
    <border>
      <left style="thin">
        <color indexed="64"/>
      </left>
      <right style="mediumDashed">
        <color theme="0" tint="-0.499984740745262"/>
      </right>
      <top/>
      <bottom style="thin">
        <color indexed="64"/>
      </bottom>
      <diagonal/>
    </border>
  </borders>
  <cellStyleXfs count="10">
    <xf numFmtId="0" fontId="0" fillId="0" borderId="0"/>
    <xf numFmtId="43" fontId="1" fillId="0" borderId="0" applyFont="0" applyFill="0" applyBorder="0" applyAlignment="0" applyProtection="0"/>
    <xf numFmtId="0" fontId="4" fillId="2" borderId="3" applyNumberFormat="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0" fillId="0" borderId="0" xfId="0"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1" fillId="5" borderId="1" xfId="5" applyBorder="1" applyAlignment="1">
      <alignment horizontal="center"/>
    </xf>
    <xf numFmtId="0" fontId="1" fillId="5" borderId="1" xfId="5" applyBorder="1"/>
    <xf numFmtId="0" fontId="1" fillId="4" borderId="1" xfId="4" applyBorder="1" applyAlignment="1">
      <alignment horizontal="center"/>
    </xf>
    <xf numFmtId="0" fontId="1" fillId="4" borderId="1" xfId="4" applyBorder="1"/>
    <xf numFmtId="0" fontId="1" fillId="3" borderId="1" xfId="3" applyBorder="1" applyAlignment="1">
      <alignment horizontal="center"/>
    </xf>
    <xf numFmtId="0" fontId="1" fillId="3" borderId="1" xfId="3" applyBorder="1"/>
    <xf numFmtId="0" fontId="1" fillId="6" borderId="1" xfId="6" applyBorder="1" applyAlignment="1">
      <alignment horizontal="center"/>
    </xf>
    <xf numFmtId="0" fontId="1" fillId="6" borderId="1" xfId="6" applyBorder="1"/>
    <xf numFmtId="0" fontId="2" fillId="4" borderId="1" xfId="4" applyFont="1" applyBorder="1" applyAlignment="1">
      <alignment horizontal="center"/>
    </xf>
    <xf numFmtId="0" fontId="2" fillId="3" borderId="1" xfId="3" applyFont="1" applyBorder="1" applyAlignment="1">
      <alignment horizontal="center"/>
    </xf>
    <xf numFmtId="0" fontId="1" fillId="3" borderId="1" xfId="3" applyFont="1" applyBorder="1"/>
    <xf numFmtId="0" fontId="0" fillId="3" borderId="1" xfId="3" applyFont="1" applyBorder="1"/>
    <xf numFmtId="0" fontId="1" fillId="3" borderId="1" xfId="3" applyFont="1" applyBorder="1" applyAlignment="1">
      <alignment horizontal="center"/>
    </xf>
    <xf numFmtId="0" fontId="4" fillId="2" borderId="4" xfId="2" applyBorder="1" applyAlignment="1">
      <alignment horizontal="center"/>
    </xf>
    <xf numFmtId="0" fontId="1" fillId="7" borderId="1" xfId="7" applyBorder="1"/>
    <xf numFmtId="0" fontId="1" fillId="7" borderId="1" xfId="7" applyBorder="1" applyAlignment="1">
      <alignment horizontal="center"/>
    </xf>
    <xf numFmtId="0" fontId="2" fillId="7" borderId="1" xfId="7" applyFont="1" applyBorder="1" applyAlignment="1">
      <alignment horizontal="center"/>
    </xf>
    <xf numFmtId="0" fontId="0" fillId="7" borderId="1" xfId="7" applyFont="1" applyBorder="1"/>
    <xf numFmtId="0" fontId="0" fillId="10" borderId="1" xfId="0" applyFill="1" applyBorder="1" applyAlignment="1">
      <alignment horizontal="right"/>
    </xf>
    <xf numFmtId="0" fontId="0" fillId="11" borderId="1" xfId="0" applyFill="1" applyBorder="1" applyAlignment="1">
      <alignment horizontal="right"/>
    </xf>
    <xf numFmtId="0" fontId="0" fillId="14" borderId="1" xfId="0" applyFill="1" applyBorder="1" applyAlignment="1">
      <alignment horizontal="right"/>
    </xf>
    <xf numFmtId="0" fontId="2" fillId="8" borderId="7" xfId="0" applyFont="1" applyFill="1" applyBorder="1"/>
    <xf numFmtId="0" fontId="2" fillId="9" borderId="1" xfId="0" applyFont="1" applyFill="1" applyBorder="1"/>
    <xf numFmtId="0" fontId="0" fillId="11" borderId="1" xfId="0" applyFont="1" applyFill="1" applyBorder="1" applyAlignment="1">
      <alignment horizontal="right"/>
    </xf>
    <xf numFmtId="0" fontId="0" fillId="11" borderId="1" xfId="0" applyFill="1" applyBorder="1"/>
    <xf numFmtId="0" fontId="2" fillId="9" borderId="7" xfId="0" applyFont="1" applyFill="1" applyBorder="1"/>
    <xf numFmtId="164" fontId="0" fillId="11" borderId="1" xfId="0" applyNumberFormat="1" applyFill="1" applyBorder="1"/>
    <xf numFmtId="0" fontId="0" fillId="0" borderId="0" xfId="0" applyBorder="1"/>
    <xf numFmtId="0" fontId="0" fillId="15" borderId="0" xfId="0" applyFill="1"/>
    <xf numFmtId="0" fontId="2" fillId="9" borderId="9" xfId="0" applyFont="1" applyFill="1" applyBorder="1"/>
    <xf numFmtId="0" fontId="10" fillId="0" borderId="9" xfId="0" applyFont="1" applyBorder="1" applyAlignment="1">
      <alignment horizontal="center"/>
    </xf>
    <xf numFmtId="0" fontId="10" fillId="0" borderId="0" xfId="0" applyFont="1" applyBorder="1" applyAlignment="1">
      <alignment horizontal="center"/>
    </xf>
    <xf numFmtId="0" fontId="0" fillId="17" borderId="1" xfId="0" applyFill="1" applyBorder="1"/>
    <xf numFmtId="0" fontId="0" fillId="17" borderId="2" xfId="0" applyFill="1" applyBorder="1"/>
    <xf numFmtId="0" fontId="0" fillId="17" borderId="9" xfId="0" applyFill="1" applyBorder="1"/>
    <xf numFmtId="0" fontId="0" fillId="17" borderId="1" xfId="0" applyFill="1" applyBorder="1" applyAlignment="1">
      <alignment horizontal="right"/>
    </xf>
    <xf numFmtId="0" fontId="2" fillId="18" borderId="7" xfId="0" applyFont="1" applyFill="1" applyBorder="1"/>
    <xf numFmtId="0" fontId="2" fillId="19" borderId="7" xfId="0" applyFont="1" applyFill="1" applyBorder="1"/>
    <xf numFmtId="0" fontId="0" fillId="16" borderId="1" xfId="0" applyFill="1" applyBorder="1" applyAlignment="1">
      <alignment horizontal="right"/>
    </xf>
    <xf numFmtId="0" fontId="0" fillId="0" borderId="10" xfId="0" applyBorder="1"/>
    <xf numFmtId="0" fontId="0" fillId="0" borderId="11" xfId="0" applyBorder="1"/>
    <xf numFmtId="0" fontId="0" fillId="0" borderId="13" xfId="0" applyBorder="1"/>
    <xf numFmtId="0" fontId="0" fillId="0" borderId="14" xfId="0" applyBorder="1"/>
    <xf numFmtId="2" fontId="0" fillId="11" borderId="9" xfId="0" applyNumberFormat="1" applyFill="1" applyBorder="1"/>
    <xf numFmtId="0" fontId="0" fillId="11" borderId="2" xfId="0" applyFill="1" applyBorder="1"/>
    <xf numFmtId="0" fontId="0" fillId="0" borderId="19" xfId="0" applyBorder="1"/>
    <xf numFmtId="0" fontId="0" fillId="0" borderId="18" xfId="0" applyBorder="1"/>
    <xf numFmtId="0" fontId="0" fillId="0" borderId="19" xfId="0" applyBorder="1" applyAlignment="1">
      <alignment horizontal="left"/>
    </xf>
    <xf numFmtId="0" fontId="0" fillId="0" borderId="19" xfId="0" applyFill="1" applyBorder="1" applyAlignment="1">
      <alignment horizontal="left"/>
    </xf>
    <xf numFmtId="0" fontId="10" fillId="0" borderId="5" xfId="0" applyFont="1" applyBorder="1" applyAlignment="1">
      <alignment horizontal="center"/>
    </xf>
    <xf numFmtId="0" fontId="10" fillId="0" borderId="11" xfId="0" applyFont="1" applyBorder="1" applyAlignment="1">
      <alignment horizontal="center"/>
    </xf>
    <xf numFmtId="0" fontId="0" fillId="17" borderId="1" xfId="0" applyFont="1" applyFill="1" applyBorder="1" applyAlignment="1">
      <alignment horizontal="right"/>
    </xf>
    <xf numFmtId="164" fontId="2" fillId="9" borderId="1" xfId="0" applyNumberFormat="1" applyFont="1" applyFill="1" applyBorder="1" applyAlignment="1">
      <alignment horizontal="left"/>
    </xf>
    <xf numFmtId="164" fontId="0" fillId="11" borderId="1" xfId="0" applyNumberFormat="1" applyFill="1" applyBorder="1" applyAlignment="1">
      <alignment horizontal="right"/>
    </xf>
    <xf numFmtId="0" fontId="2" fillId="12" borderId="1" xfId="0" applyFont="1" applyFill="1" applyBorder="1"/>
    <xf numFmtId="0" fontId="2" fillId="19" borderId="7" xfId="0" applyFont="1" applyFill="1" applyBorder="1" applyAlignment="1">
      <alignment vertical="center"/>
    </xf>
    <xf numFmtId="0" fontId="4" fillId="2" borderId="33" xfId="2" applyBorder="1" applyAlignment="1">
      <alignment horizontal="center"/>
    </xf>
    <xf numFmtId="0" fontId="3" fillId="12" borderId="0" xfId="0" applyFont="1" applyFill="1" applyAlignment="1">
      <alignment horizontal="center"/>
    </xf>
    <xf numFmtId="0" fontId="2" fillId="19" borderId="1" xfId="0" applyFont="1" applyFill="1" applyBorder="1" applyAlignment="1">
      <alignment horizontal="left"/>
    </xf>
    <xf numFmtId="0" fontId="2" fillId="11" borderId="1" xfId="0" applyFont="1" applyFill="1" applyBorder="1" applyAlignment="1">
      <alignment horizontal="right"/>
    </xf>
    <xf numFmtId="0" fontId="2" fillId="21" borderId="7" xfId="0" applyFont="1" applyFill="1" applyBorder="1"/>
    <xf numFmtId="0" fontId="0" fillId="20" borderId="1" xfId="0" applyFill="1" applyBorder="1" applyAlignment="1">
      <alignment horizontal="right"/>
    </xf>
    <xf numFmtId="165" fontId="0" fillId="20" borderId="1" xfId="8" applyNumberFormat="1" applyFont="1" applyFill="1" applyBorder="1"/>
    <xf numFmtId="166" fontId="0" fillId="20" borderId="1" xfId="0" applyNumberFormat="1" applyFill="1" applyBorder="1"/>
    <xf numFmtId="165" fontId="0" fillId="10" borderId="9" xfId="8" applyNumberFormat="1" applyFont="1" applyFill="1" applyBorder="1"/>
    <xf numFmtId="165" fontId="0" fillId="10" borderId="2" xfId="8" applyNumberFormat="1" applyFont="1" applyFill="1" applyBorder="1"/>
    <xf numFmtId="165" fontId="0" fillId="14" borderId="9" xfId="0" applyNumberFormat="1" applyFill="1" applyBorder="1"/>
    <xf numFmtId="165" fontId="0" fillId="14" borderId="2" xfId="0" applyNumberFormat="1" applyFill="1" applyBorder="1"/>
    <xf numFmtId="165" fontId="0" fillId="16" borderId="1" xfId="0" applyNumberFormat="1" applyFill="1" applyBorder="1"/>
    <xf numFmtId="165" fontId="0" fillId="16" borderId="9" xfId="8" applyNumberFormat="1" applyFont="1" applyFill="1" applyBorder="1"/>
    <xf numFmtId="165" fontId="0" fillId="16" borderId="2" xfId="8" applyNumberFormat="1" applyFont="1" applyFill="1" applyBorder="1"/>
    <xf numFmtId="165" fontId="0" fillId="11" borderId="2" xfId="8" applyNumberFormat="1" applyFont="1" applyFill="1" applyBorder="1"/>
    <xf numFmtId="165" fontId="0" fillId="11" borderId="9" xfId="8" applyNumberFormat="1" applyFont="1" applyFill="1" applyBorder="1"/>
    <xf numFmtId="165" fontId="0" fillId="11" borderId="2" xfId="0" applyNumberFormat="1" applyFill="1" applyBorder="1"/>
    <xf numFmtId="165" fontId="0" fillId="17" borderId="2" xfId="8" applyNumberFormat="1" applyFont="1" applyFill="1" applyBorder="1"/>
    <xf numFmtId="165" fontId="0" fillId="17" borderId="9" xfId="8" applyNumberFormat="1" applyFont="1" applyFill="1" applyBorder="1"/>
    <xf numFmtId="165" fontId="0" fillId="17" borderId="2" xfId="0" applyNumberFormat="1" applyFill="1" applyBorder="1"/>
    <xf numFmtId="0" fontId="0" fillId="0" borderId="5" xfId="0" applyBorder="1" applyAlignment="1">
      <alignment horizont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5" fillId="0" borderId="22" xfId="0" applyFont="1" applyBorder="1" applyAlignment="1">
      <alignment horizontal="center" vertical="center"/>
    </xf>
    <xf numFmtId="0" fontId="0" fillId="0" borderId="41" xfId="0" applyBorder="1" applyAlignment="1">
      <alignment horizontal="center"/>
    </xf>
    <xf numFmtId="0" fontId="0" fillId="0" borderId="42" xfId="0" applyBorder="1" applyAlignment="1">
      <alignment horizontal="center"/>
    </xf>
    <xf numFmtId="0" fontId="0" fillId="0" borderId="11" xfId="0" applyBorder="1" applyAlignment="1">
      <alignment horizontal="center"/>
    </xf>
    <xf numFmtId="0" fontId="2" fillId="24" borderId="7" xfId="0" applyFont="1" applyFill="1" applyBorder="1"/>
    <xf numFmtId="0" fontId="0" fillId="23" borderId="1" xfId="0" applyFill="1" applyBorder="1" applyAlignment="1">
      <alignment horizontal="right"/>
    </xf>
    <xf numFmtId="165" fontId="0" fillId="23" borderId="2" xfId="8" applyNumberFormat="1" applyFont="1" applyFill="1" applyBorder="1"/>
    <xf numFmtId="165" fontId="0" fillId="23" borderId="9" xfId="8" applyNumberFormat="1" applyFont="1" applyFill="1" applyBorder="1"/>
    <xf numFmtId="0" fontId="0" fillId="0" borderId="43" xfId="0" applyBorder="1"/>
    <xf numFmtId="44" fontId="0" fillId="0" borderId="11" xfId="8" applyFont="1" applyBorder="1"/>
    <xf numFmtId="165" fontId="0" fillId="23" borderId="1" xfId="8" applyNumberFormat="1" applyFont="1" applyFill="1" applyBorder="1"/>
    <xf numFmtId="0" fontId="0" fillId="0" borderId="46" xfId="0" applyBorder="1"/>
    <xf numFmtId="0" fontId="2" fillId="0" borderId="46" xfId="0" applyFont="1" applyBorder="1" applyAlignment="1">
      <alignment horizontal="center" vertical="center"/>
    </xf>
    <xf numFmtId="10" fontId="11" fillId="0" borderId="46" xfId="9" applyNumberFormat="1" applyFont="1" applyBorder="1" applyAlignment="1">
      <alignment horizontal="center" vertical="center"/>
    </xf>
    <xf numFmtId="0" fontId="0" fillId="0" borderId="0" xfId="0" applyAlignment="1"/>
    <xf numFmtId="0" fontId="2" fillId="21" borderId="7" xfId="0" applyFont="1" applyFill="1" applyBorder="1" applyAlignment="1"/>
    <xf numFmtId="165" fontId="0" fillId="20" borderId="1" xfId="0" applyNumberFormat="1" applyFill="1" applyBorder="1"/>
    <xf numFmtId="1" fontId="0" fillId="20" borderId="1" xfId="0" applyNumberFormat="1" applyFill="1" applyBorder="1"/>
    <xf numFmtId="44" fontId="0" fillId="20" borderId="1" xfId="0" applyNumberFormat="1" applyFill="1" applyBorder="1"/>
    <xf numFmtId="44" fontId="0" fillId="20" borderId="1" xfId="8" applyFont="1" applyFill="1" applyBorder="1"/>
    <xf numFmtId="0" fontId="0" fillId="0" borderId="11" xfId="0" applyBorder="1" applyAlignment="1"/>
    <xf numFmtId="0" fontId="2" fillId="0" borderId="0" xfId="0" applyFont="1" applyBorder="1" applyAlignment="1">
      <alignment horizontal="center" vertical="center"/>
    </xf>
    <xf numFmtId="0" fontId="3" fillId="0" borderId="0" xfId="0" applyFont="1" applyBorder="1" applyAlignment="1">
      <alignment horizontal="center" vertical="center"/>
    </xf>
    <xf numFmtId="0" fontId="0" fillId="0" borderId="0" xfId="0" applyFill="1" applyAlignment="1" applyProtection="1">
      <alignment horizontal="left"/>
      <protection locked="0"/>
    </xf>
    <xf numFmtId="1" fontId="0" fillId="0" borderId="0" xfId="0" applyNumberFormat="1" applyFill="1" applyAlignment="1" applyProtection="1">
      <alignment horizontal="left"/>
      <protection locked="0"/>
    </xf>
    <xf numFmtId="0" fontId="0" fillId="0" borderId="0" xfId="0" applyProtection="1">
      <protection locked="0"/>
    </xf>
    <xf numFmtId="1" fontId="0" fillId="0" borderId="0" xfId="0" applyNumberFormat="1" applyProtection="1">
      <protection locked="0"/>
    </xf>
    <xf numFmtId="0" fontId="0" fillId="14" borderId="0" xfId="0" applyFill="1" applyAlignment="1" applyProtection="1">
      <alignment horizontal="left"/>
      <protection locked="0"/>
    </xf>
    <xf numFmtId="0" fontId="0" fillId="14" borderId="0" xfId="0" applyFill="1" applyProtection="1">
      <protection locked="0"/>
    </xf>
    <xf numFmtId="0" fontId="2" fillId="0" borderId="1" xfId="0" applyFont="1" applyBorder="1" applyAlignment="1" applyProtection="1">
      <protection locked="0"/>
    </xf>
    <xf numFmtId="0" fontId="2" fillId="12" borderId="26" xfId="0" applyFont="1" applyFill="1" applyBorder="1" applyAlignment="1" applyProtection="1">
      <alignment horizontal="center"/>
      <protection locked="0"/>
    </xf>
    <xf numFmtId="0" fontId="2" fillId="12" borderId="27" xfId="0" applyFont="1" applyFill="1" applyBorder="1" applyAlignment="1" applyProtection="1">
      <alignment horizontal="center"/>
      <protection locked="0"/>
    </xf>
    <xf numFmtId="0" fontId="2" fillId="0" borderId="1" xfId="0" applyFont="1" applyBorder="1" applyAlignment="1" applyProtection="1">
      <alignment horizontal="left"/>
      <protection locked="0"/>
    </xf>
    <xf numFmtId="1" fontId="0" fillId="12" borderId="1" xfId="0" applyNumberFormat="1" applyFill="1" applyBorder="1" applyAlignment="1" applyProtection="1">
      <alignment horizontal="center"/>
      <protection locked="0"/>
    </xf>
    <xf numFmtId="0" fontId="5" fillId="12" borderId="1" xfId="0" applyFont="1" applyFill="1" applyBorder="1" applyAlignment="1" applyProtection="1">
      <alignment horizontal="center"/>
      <protection locked="0"/>
    </xf>
    <xf numFmtId="1" fontId="0" fillId="0" borderId="26" xfId="1" applyNumberFormat="1" applyFont="1" applyFill="1" applyBorder="1" applyAlignment="1" applyProtection="1">
      <alignment horizontal="center"/>
      <protection locked="0"/>
    </xf>
    <xf numFmtId="1" fontId="0" fillId="0" borderId="28" xfId="1" applyNumberFormat="1" applyFont="1" applyBorder="1" applyAlignment="1" applyProtection="1">
      <alignment horizontal="center"/>
      <protection locked="0"/>
    </xf>
    <xf numFmtId="0" fontId="0" fillId="0" borderId="1" xfId="0" applyBorder="1" applyAlignment="1" applyProtection="1">
      <alignment horizontal="left" indent="1"/>
      <protection locked="0"/>
    </xf>
    <xf numFmtId="44" fontId="12" fillId="0" borderId="1" xfId="8" applyFont="1" applyBorder="1" applyProtection="1">
      <protection locked="0"/>
    </xf>
    <xf numFmtId="0" fontId="0" fillId="0" borderId="1" xfId="0" applyFont="1" applyBorder="1" applyAlignment="1" applyProtection="1">
      <alignment horizontal="right"/>
      <protection locked="0"/>
    </xf>
    <xf numFmtId="165" fontId="0" fillId="0" borderId="26" xfId="8" applyNumberFormat="1" applyFont="1" applyFill="1" applyBorder="1" applyAlignment="1" applyProtection="1">
      <alignment horizontal="left"/>
      <protection locked="0"/>
    </xf>
    <xf numFmtId="10" fontId="0" fillId="0" borderId="31" xfId="9" applyNumberFormat="1" applyFont="1" applyFill="1" applyBorder="1" applyAlignment="1" applyProtection="1">
      <alignment horizontal="center"/>
      <protection locked="0"/>
    </xf>
    <xf numFmtId="165" fontId="0" fillId="0" borderId="28" xfId="8" applyNumberFormat="1" applyFont="1" applyBorder="1" applyProtection="1">
      <protection locked="0"/>
    </xf>
    <xf numFmtId="0" fontId="0" fillId="0" borderId="26" xfId="0" applyBorder="1" applyProtection="1">
      <protection locked="0"/>
    </xf>
    <xf numFmtId="0" fontId="0" fillId="0" borderId="30" xfId="0" applyBorder="1" applyProtection="1">
      <protection locked="0"/>
    </xf>
    <xf numFmtId="165" fontId="12" fillId="0" borderId="1" xfId="8" applyNumberFormat="1" applyFont="1" applyBorder="1" applyProtection="1">
      <protection locked="0"/>
    </xf>
    <xf numFmtId="10" fontId="12" fillId="0" borderId="31" xfId="9" applyNumberFormat="1" applyFont="1" applyFill="1" applyBorder="1" applyAlignment="1" applyProtection="1">
      <alignment horizontal="left" indent="1"/>
      <protection locked="0"/>
    </xf>
    <xf numFmtId="10" fontId="12" fillId="0" borderId="26" xfId="9" applyNumberFormat="1" applyFont="1" applyBorder="1" applyAlignment="1" applyProtection="1">
      <alignment horizontal="left" indent="1"/>
      <protection locked="0"/>
    </xf>
    <xf numFmtId="10" fontId="12" fillId="0" borderId="30" xfId="0" applyNumberFormat="1" applyFont="1" applyBorder="1" applyAlignment="1" applyProtection="1">
      <alignment horizontal="right"/>
      <protection locked="0"/>
    </xf>
    <xf numFmtId="165" fontId="7" fillId="0" borderId="26" xfId="8" applyNumberFormat="1" applyFont="1" applyFill="1" applyBorder="1" applyAlignment="1" applyProtection="1">
      <alignment horizontal="left"/>
      <protection locked="0"/>
    </xf>
    <xf numFmtId="165" fontId="7" fillId="0" borderId="28" xfId="8" applyNumberFormat="1" applyFont="1" applyBorder="1" applyAlignment="1" applyProtection="1">
      <alignment horizontal="left"/>
      <protection locked="0"/>
    </xf>
    <xf numFmtId="0" fontId="0" fillId="0" borderId="1" xfId="0" applyBorder="1" applyAlignment="1" applyProtection="1">
      <alignment horizontal="left" indent="2"/>
      <protection locked="0"/>
    </xf>
    <xf numFmtId="44" fontId="0" fillId="0" borderId="1" xfId="8" applyFont="1" applyBorder="1" applyProtection="1">
      <protection locked="0"/>
    </xf>
    <xf numFmtId="165" fontId="8" fillId="0" borderId="26" xfId="8" applyNumberFormat="1" applyFont="1" applyFill="1" applyBorder="1" applyAlignment="1" applyProtection="1">
      <alignment horizontal="left"/>
      <protection locked="0"/>
    </xf>
    <xf numFmtId="165" fontId="8" fillId="0" borderId="28" xfId="8" applyNumberFormat="1" applyFont="1" applyBorder="1" applyAlignment="1" applyProtection="1">
      <alignment horizontal="left"/>
      <protection locked="0"/>
    </xf>
    <xf numFmtId="0" fontId="0" fillId="0" borderId="1" xfId="0" applyFont="1" applyBorder="1" applyAlignment="1" applyProtection="1">
      <alignment horizontal="left" indent="2"/>
      <protection locked="0"/>
    </xf>
    <xf numFmtId="44" fontId="1" fillId="0" borderId="1" xfId="8" applyFont="1" applyBorder="1" applyProtection="1">
      <protection locked="0"/>
    </xf>
    <xf numFmtId="0" fontId="2" fillId="0" borderId="1" xfId="0" applyFont="1" applyBorder="1" applyAlignment="1" applyProtection="1">
      <alignment horizontal="left" indent="1"/>
      <protection locked="0"/>
    </xf>
    <xf numFmtId="0" fontId="0" fillId="0" borderId="1" xfId="0" applyFont="1" applyFill="1" applyBorder="1" applyAlignment="1" applyProtection="1">
      <alignment horizontal="right"/>
      <protection locked="0"/>
    </xf>
    <xf numFmtId="165" fontId="7" fillId="0" borderId="28" xfId="8" applyNumberFormat="1" applyFont="1" applyFill="1" applyBorder="1" applyAlignment="1" applyProtection="1">
      <alignment horizontal="left"/>
      <protection locked="0"/>
    </xf>
    <xf numFmtId="44" fontId="0" fillId="0" borderId="1" xfId="8" applyFont="1" applyFill="1" applyBorder="1" applyProtection="1">
      <protection locked="0"/>
    </xf>
    <xf numFmtId="0" fontId="0" fillId="0" borderId="0" xfId="0" applyFill="1" applyProtection="1">
      <protection locked="0"/>
    </xf>
    <xf numFmtId="0" fontId="0" fillId="22" borderId="0" xfId="0" applyFont="1" applyFill="1" applyAlignment="1" applyProtection="1">
      <alignment horizontal="left"/>
      <protection locked="0"/>
    </xf>
    <xf numFmtId="0" fontId="0" fillId="0" borderId="1" xfId="0" applyFill="1" applyBorder="1" applyAlignment="1" applyProtection="1">
      <alignment horizontal="left" indent="2"/>
      <protection locked="0"/>
    </xf>
    <xf numFmtId="0" fontId="0" fillId="22" borderId="0" xfId="0" applyFill="1" applyProtection="1">
      <protection locked="0"/>
    </xf>
    <xf numFmtId="1" fontId="2" fillId="12" borderId="26" xfId="0" applyNumberFormat="1" applyFont="1" applyFill="1" applyBorder="1" applyAlignment="1" applyProtection="1">
      <alignment horizontal="center" vertical="center"/>
      <protection locked="0"/>
    </xf>
    <xf numFmtId="1" fontId="2" fillId="12" borderId="27" xfId="0" applyNumberFormat="1" applyFont="1" applyFill="1" applyBorder="1" applyAlignment="1" applyProtection="1">
      <alignment horizontal="center" vertical="center"/>
      <protection locked="0"/>
    </xf>
    <xf numFmtId="0" fontId="5" fillId="12" borderId="7" xfId="0" applyFont="1" applyFill="1" applyBorder="1" applyAlignment="1" applyProtection="1">
      <alignment horizontal="center"/>
      <protection locked="0"/>
    </xf>
    <xf numFmtId="1" fontId="0" fillId="0" borderId="32" xfId="0" applyNumberFormat="1" applyFill="1" applyBorder="1" applyAlignment="1" applyProtection="1">
      <alignment horizontal="center" vertical="center"/>
      <protection locked="0"/>
    </xf>
    <xf numFmtId="1" fontId="0" fillId="0" borderId="35" xfId="0" applyNumberFormat="1" applyBorder="1" applyAlignment="1" applyProtection="1">
      <alignment horizontal="center" vertical="center"/>
      <protection locked="0"/>
    </xf>
    <xf numFmtId="44" fontId="2" fillId="1" borderId="1" xfId="8" applyFont="1" applyFill="1" applyBorder="1" applyProtection="1">
      <protection locked="0"/>
    </xf>
    <xf numFmtId="44" fontId="0" fillId="1" borderId="1" xfId="8" applyFont="1" applyFill="1" applyBorder="1" applyProtection="1">
      <protection locked="0"/>
    </xf>
    <xf numFmtId="0" fontId="0" fillId="0" borderId="1" xfId="0" applyBorder="1" applyAlignment="1" applyProtection="1">
      <alignment horizontal="right"/>
      <protection locked="0"/>
    </xf>
    <xf numFmtId="165" fontId="0" fillId="0" borderId="1" xfId="8" applyNumberFormat="1" applyFont="1" applyFill="1" applyBorder="1" applyProtection="1">
      <protection locked="0"/>
    </xf>
    <xf numFmtId="10" fontId="12" fillId="0" borderId="31" xfId="9" applyNumberFormat="1" applyFont="1" applyBorder="1" applyAlignment="1" applyProtection="1">
      <alignment horizontal="left" indent="1"/>
      <protection locked="0"/>
    </xf>
    <xf numFmtId="10" fontId="12" fillId="0" borderId="28" xfId="0" applyNumberFormat="1" applyFont="1" applyBorder="1" applyProtection="1">
      <protection locked="0"/>
    </xf>
    <xf numFmtId="165" fontId="0" fillId="0" borderId="1" xfId="8" applyNumberFormat="1" applyFont="1" applyFill="1" applyBorder="1" applyAlignment="1" applyProtection="1">
      <alignment horizontal="left"/>
      <protection locked="0"/>
    </xf>
    <xf numFmtId="0" fontId="0" fillId="0" borderId="7" xfId="0" applyBorder="1" applyAlignment="1" applyProtection="1">
      <alignment horizontal="left"/>
      <protection locked="0"/>
    </xf>
    <xf numFmtId="44" fontId="0" fillId="0" borderId="7" xfId="8" applyFont="1" applyBorder="1" applyProtection="1">
      <protection locked="0"/>
    </xf>
    <xf numFmtId="0" fontId="2" fillId="0" borderId="44" xfId="0" applyFont="1" applyBorder="1" applyAlignment="1" applyProtection="1">
      <alignment horizontal="left" indent="2"/>
      <protection locked="0"/>
    </xf>
    <xf numFmtId="44" fontId="12" fillId="0" borderId="44" xfId="8" applyFont="1" applyBorder="1" applyProtection="1">
      <protection locked="0"/>
    </xf>
    <xf numFmtId="0" fontId="0" fillId="13" borderId="0" xfId="0" applyFill="1" applyProtection="1">
      <protection locked="0"/>
    </xf>
    <xf numFmtId="0" fontId="0" fillId="0" borderId="9" xfId="0" applyBorder="1" applyAlignment="1" applyProtection="1">
      <alignment horizontal="left"/>
      <protection locked="0"/>
    </xf>
    <xf numFmtId="44" fontId="0" fillId="0" borderId="9" xfId="8" applyFont="1" applyBorder="1" applyProtection="1">
      <protection locked="0"/>
    </xf>
    <xf numFmtId="165" fontId="0" fillId="0" borderId="28" xfId="8" applyNumberFormat="1" applyFont="1" applyFill="1" applyBorder="1" applyProtection="1">
      <protection locked="0"/>
    </xf>
    <xf numFmtId="0" fontId="2" fillId="13" borderId="1" xfId="0" applyFont="1" applyFill="1" applyBorder="1" applyAlignment="1" applyProtection="1">
      <alignment horizontal="right"/>
      <protection locked="0"/>
    </xf>
    <xf numFmtId="165" fontId="12" fillId="0" borderId="1" xfId="8" applyNumberFormat="1" applyFont="1" applyFill="1" applyBorder="1" applyAlignment="1" applyProtection="1">
      <alignment horizontal="left"/>
      <protection locked="0"/>
    </xf>
    <xf numFmtId="10" fontId="12" fillId="0" borderId="31" xfId="8" applyNumberFormat="1" applyFont="1" applyFill="1" applyBorder="1" applyAlignment="1" applyProtection="1">
      <alignment horizontal="left" indent="1"/>
      <protection locked="0"/>
    </xf>
    <xf numFmtId="165" fontId="12" fillId="13" borderId="28" xfId="8" applyNumberFormat="1" applyFont="1" applyFill="1" applyBorder="1" applyProtection="1">
      <protection locked="0"/>
    </xf>
    <xf numFmtId="10" fontId="12" fillId="1" borderId="28" xfId="0" applyNumberFormat="1" applyFont="1" applyFill="1" applyBorder="1" applyProtection="1">
      <protection locked="0"/>
    </xf>
    <xf numFmtId="0" fontId="2" fillId="0" borderId="1" xfId="0" applyFont="1" applyFill="1" applyBorder="1" applyAlignment="1" applyProtection="1">
      <alignment horizontal="right"/>
      <protection locked="0"/>
    </xf>
    <xf numFmtId="165" fontId="12" fillId="0" borderId="1" xfId="8" applyNumberFormat="1" applyFont="1" applyFill="1" applyBorder="1" applyProtection="1">
      <protection locked="0"/>
    </xf>
    <xf numFmtId="165" fontId="12" fillId="0" borderId="28" xfId="8" applyNumberFormat="1" applyFont="1" applyBorder="1" applyProtection="1">
      <protection locked="0"/>
    </xf>
    <xf numFmtId="10" fontId="12" fillId="0" borderId="34" xfId="9" applyNumberFormat="1" applyFont="1" applyFill="1" applyBorder="1" applyAlignment="1" applyProtection="1">
      <alignment horizontal="left" indent="1"/>
      <protection locked="0"/>
    </xf>
    <xf numFmtId="10" fontId="12" fillId="0" borderId="34" xfId="9" applyNumberFormat="1" applyFont="1" applyBorder="1" applyAlignment="1" applyProtection="1">
      <alignment horizontal="left" indent="1"/>
      <protection locked="0"/>
    </xf>
    <xf numFmtId="0" fontId="2" fillId="0" borderId="1" xfId="0" applyFont="1" applyBorder="1" applyAlignment="1" applyProtection="1">
      <alignment horizontal="right"/>
      <protection locked="0"/>
    </xf>
    <xf numFmtId="165" fontId="12" fillId="0" borderId="26" xfId="8" applyNumberFormat="1" applyFont="1" applyFill="1" applyBorder="1" applyAlignment="1" applyProtection="1">
      <alignment horizontal="left"/>
      <protection locked="0"/>
    </xf>
    <xf numFmtId="10" fontId="12" fillId="0" borderId="38" xfId="9" applyNumberFormat="1" applyFont="1" applyFill="1" applyBorder="1" applyAlignment="1" applyProtection="1">
      <alignment horizontal="left" indent="1"/>
      <protection locked="0"/>
    </xf>
    <xf numFmtId="165" fontId="12" fillId="0" borderId="27" xfId="8" applyNumberFormat="1" applyFont="1" applyBorder="1" applyProtection="1">
      <protection locked="0"/>
    </xf>
    <xf numFmtId="10" fontId="12" fillId="0" borderId="38" xfId="9" applyNumberFormat="1" applyFont="1" applyBorder="1" applyAlignment="1" applyProtection="1">
      <alignment horizontal="left" indent="1"/>
      <protection locked="0"/>
    </xf>
    <xf numFmtId="9" fontId="12" fillId="0" borderId="39" xfId="9" applyFont="1" applyFill="1" applyBorder="1" applyAlignment="1" applyProtection="1">
      <alignment horizontal="left" indent="1"/>
      <protection locked="0"/>
    </xf>
    <xf numFmtId="10" fontId="12" fillId="0" borderId="39" xfId="9" applyNumberFormat="1" applyFont="1" applyBorder="1" applyAlignment="1" applyProtection="1">
      <alignment horizontal="left" indent="1"/>
      <protection locked="0"/>
    </xf>
    <xf numFmtId="9" fontId="12" fillId="0" borderId="28" xfId="0" applyNumberFormat="1" applyFont="1" applyBorder="1" applyProtection="1">
      <protection locked="0"/>
    </xf>
    <xf numFmtId="9" fontId="12" fillId="0" borderId="31" xfId="9" applyFont="1" applyFill="1" applyBorder="1" applyAlignment="1" applyProtection="1">
      <alignment horizontal="left" indent="1"/>
      <protection locked="0"/>
    </xf>
    <xf numFmtId="0" fontId="0" fillId="0" borderId="32" xfId="0" applyBorder="1" applyProtection="1">
      <protection locked="0"/>
    </xf>
    <xf numFmtId="44" fontId="0" fillId="0" borderId="32" xfId="8" applyFont="1" applyBorder="1" applyProtection="1">
      <protection locked="0"/>
    </xf>
    <xf numFmtId="0" fontId="0" fillId="0" borderId="44" xfId="0" applyBorder="1" applyAlignment="1" applyProtection="1">
      <alignment horizontal="left"/>
      <protection locked="0"/>
    </xf>
    <xf numFmtId="44" fontId="0" fillId="0" borderId="44" xfId="8" applyFont="1" applyBorder="1" applyProtection="1">
      <protection locked="0"/>
    </xf>
    <xf numFmtId="10" fontId="12" fillId="0" borderId="31" xfId="0" applyNumberFormat="1" applyFont="1" applyFill="1" applyBorder="1" applyAlignment="1" applyProtection="1">
      <alignment horizontal="left" indent="1"/>
      <protection locked="0"/>
    </xf>
    <xf numFmtId="10" fontId="12" fillId="0" borderId="31" xfId="0" applyNumberFormat="1" applyFont="1" applyBorder="1" applyAlignment="1" applyProtection="1">
      <alignment horizontal="left" indent="1"/>
      <protection locked="0"/>
    </xf>
    <xf numFmtId="0" fontId="0" fillId="1" borderId="28" xfId="0" applyFill="1" applyBorder="1" applyProtection="1">
      <protection locked="0"/>
    </xf>
    <xf numFmtId="0" fontId="16" fillId="14" borderId="0" xfId="0" applyFont="1" applyFill="1" applyBorder="1" applyAlignment="1" applyProtection="1">
      <alignment horizontal="right"/>
      <protection locked="0"/>
    </xf>
    <xf numFmtId="165" fontId="16" fillId="14" borderId="0" xfId="8" applyNumberFormat="1" applyFont="1" applyFill="1" applyBorder="1" applyProtection="1">
      <protection locked="0"/>
    </xf>
    <xf numFmtId="10" fontId="16" fillId="14" borderId="0" xfId="0" applyNumberFormat="1" applyFont="1" applyFill="1" applyBorder="1" applyAlignment="1" applyProtection="1">
      <alignment horizontal="left" indent="1"/>
      <protection locked="0"/>
    </xf>
    <xf numFmtId="0" fontId="17" fillId="14" borderId="0" xfId="0" applyFont="1" applyFill="1" applyProtection="1">
      <protection locked="0"/>
    </xf>
    <xf numFmtId="44" fontId="12" fillId="0" borderId="44" xfId="0" applyNumberFormat="1" applyFont="1" applyBorder="1" applyProtection="1">
      <protection locked="0"/>
    </xf>
    <xf numFmtId="0" fontId="17" fillId="14" borderId="40" xfId="0" applyFont="1" applyFill="1" applyBorder="1" applyProtection="1">
      <protection locked="0"/>
    </xf>
    <xf numFmtId="0" fontId="2" fillId="12" borderId="1" xfId="0" applyFont="1" applyFill="1" applyBorder="1" applyAlignment="1" applyProtection="1">
      <alignment horizontal="center"/>
      <protection locked="0"/>
    </xf>
    <xf numFmtId="1" fontId="2" fillId="12" borderId="26" xfId="0" applyNumberFormat="1" applyFont="1" applyFill="1" applyBorder="1" applyAlignment="1" applyProtection="1">
      <alignment horizontal="center"/>
      <protection locked="0"/>
    </xf>
    <xf numFmtId="0" fontId="2" fillId="12" borderId="28" xfId="0" applyFont="1" applyFill="1" applyBorder="1" applyAlignment="1" applyProtection="1">
      <alignment horizontal="center"/>
      <protection locked="0"/>
    </xf>
    <xf numFmtId="0" fontId="2" fillId="12" borderId="1" xfId="0" applyFont="1" applyFill="1" applyBorder="1" applyProtection="1">
      <protection locked="0"/>
    </xf>
    <xf numFmtId="166" fontId="0" fillId="0" borderId="1" xfId="1" applyNumberFormat="1" applyFont="1" applyFill="1" applyBorder="1" applyProtection="1">
      <protection locked="0"/>
    </xf>
    <xf numFmtId="166" fontId="0" fillId="0" borderId="1" xfId="1" applyNumberFormat="1" applyFont="1" applyBorder="1" applyProtection="1">
      <protection locked="0"/>
    </xf>
    <xf numFmtId="0" fontId="0" fillId="0" borderId="1" xfId="0" applyBorder="1" applyProtection="1">
      <protection locked="0"/>
    </xf>
    <xf numFmtId="0" fontId="0" fillId="0" borderId="0" xfId="0" applyAlignment="1" applyProtection="1">
      <alignment horizontal="left"/>
      <protection locked="0"/>
    </xf>
    <xf numFmtId="44" fontId="0" fillId="13" borderId="1" xfId="8" applyFont="1" applyFill="1" applyBorder="1" applyProtection="1">
      <protection locked="0"/>
    </xf>
    <xf numFmtId="0" fontId="0" fillId="13" borderId="1" xfId="0" applyFill="1" applyBorder="1" applyAlignment="1" applyProtection="1">
      <alignment horizontal="center"/>
      <protection locked="0"/>
    </xf>
    <xf numFmtId="0" fontId="6" fillId="2" borderId="1" xfId="2" applyFont="1" applyBorder="1" applyAlignment="1">
      <alignment horizontal="center" vertical="center"/>
    </xf>
    <xf numFmtId="0" fontId="4" fillId="2" borderId="4" xfId="2" applyBorder="1" applyAlignment="1">
      <alignment horizontal="center"/>
    </xf>
    <xf numFmtId="0" fontId="0" fillId="13" borderId="26" xfId="0" applyFill="1" applyBorder="1" applyAlignment="1" applyProtection="1">
      <alignment horizontal="center"/>
      <protection locked="0"/>
    </xf>
    <xf numFmtId="0" fontId="0" fillId="13" borderId="27" xfId="0" applyFill="1" applyBorder="1" applyAlignment="1" applyProtection="1">
      <alignment horizontal="center"/>
      <protection locked="0"/>
    </xf>
    <xf numFmtId="0" fontId="0" fillId="13" borderId="28" xfId="0" applyFill="1" applyBorder="1" applyAlignment="1" applyProtection="1">
      <alignment horizontal="center"/>
      <protection locked="0"/>
    </xf>
    <xf numFmtId="0" fontId="13" fillId="12" borderId="30" xfId="0" applyFont="1" applyFill="1" applyBorder="1" applyAlignment="1" applyProtection="1">
      <alignment horizontal="center" vertical="center" wrapText="1"/>
      <protection locked="0"/>
    </xf>
    <xf numFmtId="0" fontId="13" fillId="12" borderId="36" xfId="0" applyFont="1" applyFill="1" applyBorder="1" applyAlignment="1" applyProtection="1">
      <alignment horizontal="center" vertical="center"/>
      <protection locked="0"/>
    </xf>
    <xf numFmtId="0" fontId="13" fillId="12" borderId="1" xfId="0" applyFont="1" applyFill="1" applyBorder="1" applyAlignment="1" applyProtection="1">
      <alignment horizontal="center" vertical="center" wrapText="1"/>
      <protection locked="0"/>
    </xf>
    <xf numFmtId="0" fontId="13" fillId="12" borderId="7" xfId="0" applyFont="1" applyFill="1" applyBorder="1" applyAlignment="1" applyProtection="1">
      <alignment horizontal="center" vertical="center"/>
      <protection locked="0"/>
    </xf>
    <xf numFmtId="0" fontId="5" fillId="0" borderId="1" xfId="0" applyFont="1" applyBorder="1" applyAlignment="1" applyProtection="1">
      <alignment horizontal="center"/>
      <protection locked="0"/>
    </xf>
    <xf numFmtId="0" fontId="13" fillId="12" borderId="1" xfId="0" applyFont="1" applyFill="1" applyBorder="1" applyAlignment="1" applyProtection="1">
      <alignment horizontal="center" vertical="center"/>
      <protection locked="0"/>
    </xf>
    <xf numFmtId="0" fontId="2" fillId="12" borderId="29" xfId="0" applyFont="1" applyFill="1" applyBorder="1" applyAlignment="1" applyProtection="1">
      <alignment horizontal="center" vertical="center" wrapText="1"/>
      <protection locked="0"/>
    </xf>
    <xf numFmtId="0" fontId="2" fillId="12" borderId="34" xfId="0" applyFont="1" applyFill="1" applyBorder="1" applyAlignment="1" applyProtection="1">
      <alignment horizontal="center" vertical="center" wrapText="1"/>
      <protection locked="0"/>
    </xf>
    <xf numFmtId="0" fontId="2" fillId="12" borderId="28" xfId="0" applyFont="1" applyFill="1" applyBorder="1" applyAlignment="1" applyProtection="1">
      <alignment horizontal="center" vertical="center" wrapText="1"/>
      <protection locked="0"/>
    </xf>
    <xf numFmtId="0" fontId="2" fillId="12" borderId="7" xfId="0" applyFont="1" applyFill="1" applyBorder="1" applyAlignment="1" applyProtection="1">
      <alignment horizontal="center" vertical="center" wrapText="1"/>
      <protection locked="0"/>
    </xf>
    <xf numFmtId="0" fontId="2" fillId="12" borderId="31" xfId="0" applyFont="1" applyFill="1" applyBorder="1" applyAlignment="1" applyProtection="1">
      <alignment horizontal="center" vertical="center"/>
      <protection locked="0"/>
    </xf>
    <xf numFmtId="0" fontId="2" fillId="12" borderId="8" xfId="0" applyFont="1" applyFill="1" applyBorder="1" applyAlignment="1" applyProtection="1">
      <alignment horizontal="center" vertical="center" wrapText="1"/>
      <protection locked="0"/>
    </xf>
    <xf numFmtId="0" fontId="2" fillId="12" borderId="5" xfId="0" applyFont="1" applyFill="1" applyBorder="1" applyAlignment="1" applyProtection="1">
      <alignment horizontal="center" vertical="center"/>
      <protection locked="0"/>
    </xf>
    <xf numFmtId="0" fontId="13" fillId="12" borderId="36" xfId="0" applyFont="1" applyFill="1" applyBorder="1" applyAlignment="1" applyProtection="1">
      <alignment horizontal="center" vertical="center" wrapText="1"/>
      <protection locked="0"/>
    </xf>
    <xf numFmtId="0" fontId="13" fillId="12" borderId="37" xfId="0" applyFont="1" applyFill="1" applyBorder="1" applyAlignment="1" applyProtection="1">
      <alignment horizontal="center" vertical="center"/>
      <protection locked="0"/>
    </xf>
    <xf numFmtId="43" fontId="15" fillId="22" borderId="27" xfId="1" applyFont="1" applyFill="1" applyBorder="1" applyAlignment="1" applyProtection="1">
      <alignment horizontal="left"/>
      <protection locked="0"/>
    </xf>
    <xf numFmtId="0" fontId="0" fillId="0" borderId="1" xfId="0" applyFont="1" applyBorder="1" applyAlignment="1" applyProtection="1">
      <alignment horizontal="left" wrapText="1" indent="2"/>
      <protection locked="0"/>
    </xf>
    <xf numFmtId="44" fontId="0" fillId="0" borderId="1" xfId="8" applyFont="1" applyBorder="1" applyAlignment="1" applyProtection="1">
      <alignment horizontal="center"/>
      <protection locked="0"/>
    </xf>
    <xf numFmtId="0" fontId="18" fillId="0" borderId="1" xfId="0" applyFont="1" applyBorder="1" applyAlignment="1" applyProtection="1">
      <alignment horizontal="center"/>
      <protection locked="0"/>
    </xf>
    <xf numFmtId="0" fontId="2" fillId="0" borderId="1" xfId="0" applyFont="1" applyBorder="1" applyAlignment="1" applyProtection="1">
      <alignment horizontal="left" wrapText="1" indent="1"/>
      <protection locked="0"/>
    </xf>
    <xf numFmtId="10" fontId="2" fillId="25" borderId="1" xfId="9" applyNumberFormat="1" applyFont="1" applyFill="1" applyBorder="1" applyAlignment="1">
      <alignment horizontal="center" vertical="center"/>
    </xf>
    <xf numFmtId="2" fontId="2" fillId="25" borderId="15" xfId="1" applyNumberFormat="1" applyFont="1" applyFill="1" applyBorder="1" applyAlignment="1">
      <alignment horizontal="center" vertical="center"/>
    </xf>
    <xf numFmtId="10" fontId="2" fillId="25" borderId="15" xfId="9" applyNumberFormat="1" applyFont="1" applyFill="1" applyBorder="1" applyAlignment="1">
      <alignment horizontal="center" vertical="center"/>
    </xf>
    <xf numFmtId="10" fontId="2" fillId="12" borderId="7" xfId="9" applyNumberFormat="1" applyFont="1" applyFill="1" applyBorder="1" applyAlignment="1">
      <alignment horizontal="center" vertical="center"/>
    </xf>
    <xf numFmtId="10" fontId="2" fillId="12" borderId="9" xfId="9" applyNumberFormat="1" applyFont="1" applyFill="1" applyBorder="1" applyAlignment="1">
      <alignment horizontal="center" vertic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5" fillId="0" borderId="22" xfId="0" applyFont="1" applyBorder="1" applyAlignment="1">
      <alignment horizontal="center" vertical="center"/>
    </xf>
    <xf numFmtId="10" fontId="2" fillId="8" borderId="15" xfId="9" applyNumberFormat="1" applyFont="1" applyFill="1" applyBorder="1" applyAlignment="1">
      <alignment horizontal="center" vertical="center"/>
    </xf>
    <xf numFmtId="0" fontId="5" fillId="0" borderId="20" xfId="0" applyFont="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167" fontId="2" fillId="21" borderId="1" xfId="8" applyNumberFormat="1" applyFont="1" applyFill="1" applyBorder="1" applyAlignment="1">
      <alignment horizontal="center" vertical="center"/>
    </xf>
    <xf numFmtId="0" fontId="0" fillId="0" borderId="5" xfId="0" applyBorder="1" applyAlignment="1">
      <alignment horizontal="center"/>
    </xf>
    <xf numFmtId="0" fontId="0" fillId="0" borderId="6" xfId="0" applyBorder="1" applyAlignment="1">
      <alignment horizontal="center"/>
    </xf>
    <xf numFmtId="10" fontId="2" fillId="19" borderId="16" xfId="9" applyNumberFormat="1" applyFont="1" applyFill="1" applyBorder="1" applyAlignment="1">
      <alignment horizontal="center" vertical="center"/>
    </xf>
    <xf numFmtId="10" fontId="2" fillId="19" borderId="17" xfId="9" applyNumberFormat="1" applyFont="1" applyFill="1" applyBorder="1" applyAlignment="1">
      <alignment horizontal="center" vertical="center"/>
    </xf>
    <xf numFmtId="2" fontId="2" fillId="19" borderId="16" xfId="0" applyNumberFormat="1" applyFont="1" applyFill="1" applyBorder="1" applyAlignment="1">
      <alignment horizontal="center" vertical="center"/>
    </xf>
    <xf numFmtId="2" fontId="2" fillId="19" borderId="17" xfId="0" applyNumberFormat="1" applyFont="1" applyFill="1" applyBorder="1" applyAlignment="1">
      <alignment horizontal="center" vertical="center"/>
    </xf>
    <xf numFmtId="2" fontId="2" fillId="19" borderId="49" xfId="0" applyNumberFormat="1" applyFont="1" applyFill="1" applyBorder="1" applyAlignment="1">
      <alignment horizontal="center" vertical="center"/>
    </xf>
    <xf numFmtId="2" fontId="2" fillId="19" borderId="50" xfId="0" applyNumberFormat="1" applyFont="1" applyFill="1" applyBorder="1" applyAlignment="1">
      <alignment horizontal="center" vertical="center"/>
    </xf>
    <xf numFmtId="10" fontId="2" fillId="19" borderId="15" xfId="9" applyNumberFormat="1" applyFont="1" applyFill="1" applyBorder="1" applyAlignment="1">
      <alignment horizontal="center" vertical="center"/>
    </xf>
    <xf numFmtId="0" fontId="2" fillId="0" borderId="45" xfId="0" applyFont="1" applyBorder="1" applyAlignment="1">
      <alignment horizontal="center" vertical="center"/>
    </xf>
    <xf numFmtId="0" fontId="2" fillId="0" borderId="41" xfId="0" applyFont="1" applyBorder="1" applyAlignment="1">
      <alignment horizontal="center" vertical="center"/>
    </xf>
    <xf numFmtId="0" fontId="2" fillId="0" borderId="47" xfId="0" applyFont="1" applyBorder="1" applyAlignment="1">
      <alignment horizontal="center" vertical="center"/>
    </xf>
    <xf numFmtId="0" fontId="2" fillId="0" borderId="48" xfId="0" applyFont="1" applyBorder="1" applyAlignment="1">
      <alignment horizontal="center" vertical="center"/>
    </xf>
    <xf numFmtId="0" fontId="3" fillId="0" borderId="47" xfId="0" applyFont="1" applyBorder="1" applyAlignment="1">
      <alignment horizontal="center" vertical="center"/>
    </xf>
    <xf numFmtId="0" fontId="3" fillId="0" borderId="48" xfId="0" applyFont="1" applyBorder="1" applyAlignment="1">
      <alignment horizontal="center" vertical="center"/>
    </xf>
    <xf numFmtId="44" fontId="2" fillId="25" borderId="1" xfId="8" applyNumberFormat="1" applyFont="1" applyFill="1" applyBorder="1" applyAlignment="1">
      <alignment horizontal="center" vertical="center"/>
    </xf>
    <xf numFmtId="2" fontId="2" fillId="24" borderId="16" xfId="1" applyNumberFormat="1" applyFont="1" applyFill="1" applyBorder="1" applyAlignment="1">
      <alignment horizontal="center" vertical="center"/>
    </xf>
    <xf numFmtId="2" fontId="2" fillId="24" borderId="17" xfId="1" applyNumberFormat="1" applyFont="1" applyFill="1" applyBorder="1" applyAlignment="1">
      <alignment horizontal="center" vertical="center"/>
    </xf>
    <xf numFmtId="39" fontId="2" fillId="24" borderId="16" xfId="1" applyNumberFormat="1" applyFont="1" applyFill="1" applyBorder="1" applyAlignment="1">
      <alignment horizontal="center" vertical="center"/>
    </xf>
    <xf numFmtId="39" fontId="2" fillId="24" borderId="17" xfId="1" applyNumberFormat="1" applyFont="1" applyFill="1" applyBorder="1" applyAlignment="1">
      <alignment horizontal="center" vertical="center"/>
    </xf>
    <xf numFmtId="44" fontId="2" fillId="24" borderId="16" xfId="8" applyFont="1" applyFill="1" applyBorder="1" applyAlignment="1">
      <alignment horizontal="center" vertical="center"/>
    </xf>
    <xf numFmtId="44" fontId="2" fillId="24" borderId="12" xfId="8" applyFont="1" applyFill="1" applyBorder="1" applyAlignment="1">
      <alignment horizontal="center" vertical="center"/>
    </xf>
    <xf numFmtId="44" fontId="2" fillId="24" borderId="17" xfId="8" applyFont="1" applyFill="1" applyBorder="1" applyAlignment="1">
      <alignment horizontal="center" vertical="center"/>
    </xf>
    <xf numFmtId="0" fontId="0" fillId="0" borderId="41" xfId="0" applyBorder="1" applyAlignment="1">
      <alignment horizontal="center"/>
    </xf>
    <xf numFmtId="2" fontId="2" fillId="18" borderId="16" xfId="0" applyNumberFormat="1" applyFont="1" applyFill="1" applyBorder="1" applyAlignment="1">
      <alignment horizontal="center" vertical="center"/>
    </xf>
    <xf numFmtId="2" fontId="2" fillId="18" borderId="17" xfId="0" applyNumberFormat="1" applyFont="1" applyFill="1" applyBorder="1" applyAlignment="1">
      <alignment horizontal="center" vertical="center"/>
    </xf>
    <xf numFmtId="10" fontId="2" fillId="18" borderId="16" xfId="9" applyNumberFormat="1" applyFont="1" applyFill="1" applyBorder="1" applyAlignment="1">
      <alignment horizontal="center" vertical="center"/>
    </xf>
    <xf numFmtId="10" fontId="2" fillId="18" borderId="17" xfId="9" applyNumberFormat="1" applyFont="1" applyFill="1" applyBorder="1" applyAlignment="1">
      <alignment horizontal="center" vertical="center"/>
    </xf>
    <xf numFmtId="2" fontId="2" fillId="18" borderId="12" xfId="0" applyNumberFormat="1" applyFont="1" applyFill="1" applyBorder="1" applyAlignment="1">
      <alignment horizontal="center" vertical="center"/>
    </xf>
    <xf numFmtId="0" fontId="2" fillId="15" borderId="0" xfId="0" applyFont="1" applyFill="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2" fontId="2" fillId="9" borderId="7" xfId="0" applyNumberFormat="1" applyFont="1" applyFill="1" applyBorder="1" applyAlignment="1">
      <alignment horizontal="center" vertical="center"/>
    </xf>
    <xf numFmtId="2" fontId="2" fillId="9" borderId="9" xfId="0" applyNumberFormat="1" applyFont="1" applyFill="1" applyBorder="1" applyAlignment="1">
      <alignment horizontal="center" vertical="center"/>
    </xf>
    <xf numFmtId="2" fontId="2" fillId="9" borderId="1" xfId="0" applyNumberFormat="1" applyFont="1" applyFill="1" applyBorder="1" applyAlignment="1">
      <alignment horizontal="center" vertical="center"/>
    </xf>
    <xf numFmtId="2" fontId="2" fillId="9" borderId="15" xfId="0" applyNumberFormat="1" applyFont="1" applyFill="1" applyBorder="1" applyAlignment="1">
      <alignment horizontal="center" vertical="center"/>
    </xf>
    <xf numFmtId="2" fontId="2" fillId="11" borderId="1" xfId="0" applyNumberFormat="1" applyFont="1" applyFill="1" applyBorder="1" applyAlignment="1">
      <alignment horizontal="center" vertical="center"/>
    </xf>
  </cellXfs>
  <cellStyles count="10">
    <cellStyle name="20% - Accent2" xfId="3" builtinId="34"/>
    <cellStyle name="20% - Accent3" xfId="4" builtinId="38"/>
    <cellStyle name="20% - Accent4" xfId="5" builtinId="42"/>
    <cellStyle name="20% - Accent5" xfId="7" builtinId="46"/>
    <cellStyle name="20% - Accent6" xfId="6" builtinId="50"/>
    <cellStyle name="Comma" xfId="1" builtinId="3"/>
    <cellStyle name="Currency" xfId="8" builtinId="4"/>
    <cellStyle name="Normal" xfId="0" builtinId="0"/>
    <cellStyle name="Output" xfId="2" builtinId="21"/>
    <cellStyle name="Percent" xfId="9" builtinId="5"/>
  </cellStyles>
  <dxfs count="1">
    <dxf>
      <fill>
        <patternFill>
          <bgColor theme="5" tint="-0.499984740745262"/>
        </patternFill>
      </fill>
      <border>
        <vertical/>
        <horizontal/>
      </border>
    </dxf>
  </dxfs>
  <tableStyles count="0" defaultTableStyle="TableStyleMedium2" defaultPivotStyle="PivotStyleLight16"/>
  <colors>
    <mruColors>
      <color rgb="FFFFFF00"/>
      <color rgb="FFFFFFAB"/>
      <color rgb="FFE2C5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chartsheet" Target="chartsheets/sheet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4"/>
    </mc:Choice>
    <mc:Fallback>
      <c:style val="14"/>
    </mc:Fallback>
  </mc:AlternateContent>
  <c:chart>
    <c:title>
      <c:tx>
        <c:rich>
          <a:bodyPr/>
          <a:lstStyle/>
          <a:p>
            <a:pPr>
              <a:defRPr/>
            </a:pPr>
            <a:r>
              <a:rPr lang="en-US"/>
              <a:t>Operations </a:t>
            </a:r>
            <a:r>
              <a:rPr lang="en-US" baseline="0"/>
              <a:t>/ Net </a:t>
            </a:r>
            <a:r>
              <a:rPr lang="en-US"/>
              <a:t>Income</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'Fin. Statements'!$B$5</c:f>
              <c:strCache>
                <c:ptCount val="1"/>
                <c:pt idx="0">
                  <c:v>2011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('Fin. Statements'!$A$6,'Fin. Statements'!$A$7,'Fin. Statements'!$A$8,'Fin. Statements'!$A$9,'Fin. Statements'!$A$14)</c:f>
              <c:strCache>
                <c:ptCount val="5"/>
                <c:pt idx="0">
                  <c:v>Net Sales</c:v>
                </c:pt>
                <c:pt idx="1">
                  <c:v>Cost of Goods Sold</c:v>
                </c:pt>
                <c:pt idx="2">
                  <c:v>Gross Profit</c:v>
                </c:pt>
                <c:pt idx="3">
                  <c:v>Operating Expenses</c:v>
                </c:pt>
                <c:pt idx="4">
                  <c:v>Net Income</c:v>
                </c:pt>
              </c:strCache>
            </c:strRef>
          </c:cat>
          <c:val>
            <c:numRef>
              <c:f>('Fin. Statements'!$B$6,'Fin. Statements'!$B$7,'Fin. Statements'!$B$8,'Fin. Statements'!$B$9,'Fin. Statements'!$B$14)</c:f>
              <c:numCache>
                <c:formatCode>_("$"* #,##0_);_("$"* \(#,##0\);_("$"* "-"??_);_(@_)</c:formatCode>
                <c:ptCount val="5"/>
                <c:pt idx="0">
                  <c:v>65030</c:v>
                </c:pt>
                <c:pt idx="1">
                  <c:v>20360</c:v>
                </c:pt>
                <c:pt idx="2">
                  <c:v>44670</c:v>
                </c:pt>
                <c:pt idx="3">
                  <c:v>32309</c:v>
                </c:pt>
                <c:pt idx="4">
                  <c:v>-36927</c:v>
                </c:pt>
              </c:numCache>
            </c:numRef>
          </c:val>
          <c:extLst>
            <c:ext xmlns:c16="http://schemas.microsoft.com/office/drawing/2014/chart" uri="{C3380CC4-5D6E-409C-BE32-E72D297353CC}">
              <c16:uniqueId val="{00000000-4951-43D0-A726-575F748C6073}"/>
            </c:ext>
          </c:extLst>
        </c:ser>
        <c:ser>
          <c:idx val="1"/>
          <c:order val="1"/>
          <c:tx>
            <c:strRef>
              <c:f>'Fin. Statements'!$D$5</c:f>
              <c:strCache>
                <c:ptCount val="1"/>
                <c:pt idx="0">
                  <c:v>2010</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('Fin. Statements'!$A$6,'Fin. Statements'!$A$7,'Fin. Statements'!$A$8,'Fin. Statements'!$A$9,'Fin. Statements'!$A$14)</c:f>
              <c:strCache>
                <c:ptCount val="5"/>
                <c:pt idx="0">
                  <c:v>Net Sales</c:v>
                </c:pt>
                <c:pt idx="1">
                  <c:v>Cost of Goods Sold</c:v>
                </c:pt>
                <c:pt idx="2">
                  <c:v>Gross Profit</c:v>
                </c:pt>
                <c:pt idx="3">
                  <c:v>Operating Expenses</c:v>
                </c:pt>
                <c:pt idx="4">
                  <c:v>Net Income</c:v>
                </c:pt>
              </c:strCache>
            </c:strRef>
          </c:cat>
          <c:val>
            <c:numRef>
              <c:f>('Fin. Statements'!$D$6,'Fin. Statements'!$D$7,'Fin. Statements'!$D$8,'Fin. Statements'!$D$9,'Fin. Statements'!$D$14)</c:f>
              <c:numCache>
                <c:formatCode>_("$"* #,##0_);_("$"* \(#,##0\);_("$"* "-"??_);_(@_)</c:formatCode>
                <c:ptCount val="5"/>
                <c:pt idx="0">
                  <c:v>61587</c:v>
                </c:pt>
                <c:pt idx="1">
                  <c:v>18792</c:v>
                </c:pt>
                <c:pt idx="2">
                  <c:v>42795</c:v>
                </c:pt>
                <c:pt idx="3">
                  <c:v>25848</c:v>
                </c:pt>
                <c:pt idx="4">
                  <c:v>-23514</c:v>
                </c:pt>
              </c:numCache>
            </c:numRef>
          </c:val>
          <c:extLst>
            <c:ext xmlns:c16="http://schemas.microsoft.com/office/drawing/2014/chart" uri="{C3380CC4-5D6E-409C-BE32-E72D297353CC}">
              <c16:uniqueId val="{00000001-4951-43D0-A726-575F748C6073}"/>
            </c:ext>
          </c:extLst>
        </c:ser>
        <c:dLbls>
          <c:showLegendKey val="0"/>
          <c:showVal val="1"/>
          <c:showCatName val="0"/>
          <c:showSerName val="0"/>
          <c:showPercent val="0"/>
          <c:showBubbleSize val="0"/>
        </c:dLbls>
        <c:gapWidth val="150"/>
        <c:shape val="box"/>
        <c:axId val="137809280"/>
        <c:axId val="137815168"/>
        <c:axId val="0"/>
      </c:bar3DChart>
      <c:catAx>
        <c:axId val="137809280"/>
        <c:scaling>
          <c:orientation val="minMax"/>
        </c:scaling>
        <c:delete val="0"/>
        <c:axPos val="b"/>
        <c:numFmt formatCode="General" sourceLinked="0"/>
        <c:majorTickMark val="none"/>
        <c:minorTickMark val="none"/>
        <c:tickLblPos val="nextTo"/>
        <c:crossAx val="137815168"/>
        <c:crosses val="autoZero"/>
        <c:auto val="1"/>
        <c:lblAlgn val="ctr"/>
        <c:lblOffset val="100"/>
        <c:noMultiLvlLbl val="0"/>
      </c:catAx>
      <c:valAx>
        <c:axId val="137815168"/>
        <c:scaling>
          <c:orientation val="minMax"/>
        </c:scaling>
        <c:delete val="1"/>
        <c:axPos val="l"/>
        <c:numFmt formatCode="_(&quot;$&quot;* #,##0_);_(&quot;$&quot;* \(#,##0\);_(&quot;$&quot;* &quot;-&quot;??_);_(@_)" sourceLinked="1"/>
        <c:majorTickMark val="none"/>
        <c:minorTickMark val="none"/>
        <c:tickLblPos val="nextTo"/>
        <c:crossAx val="137809280"/>
        <c:crosses val="autoZero"/>
        <c:crossBetween val="between"/>
      </c:valAx>
    </c:plotArea>
    <c:legend>
      <c:legendPos val="t"/>
      <c:overlay val="0"/>
    </c:legend>
    <c:plotVisOnly val="1"/>
    <c:dispBlanksAs val="gap"/>
    <c:showDLblsOverMax val="0"/>
  </c:chart>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chartsheets/sheet1.xml><?xml version="1.0" encoding="utf-8"?>
<chartsheet xmlns="http://schemas.openxmlformats.org/spreadsheetml/2006/main" xmlns:r="http://schemas.openxmlformats.org/officeDocument/2006/relationships">
  <sheetPr codeName="Chart1">
    <tabColor theme="7" tint="-0.499984740745262"/>
  </sheetPr>
  <sheetViews>
    <sheetView zoomScale="93" workbookViewId="0" zoomToFit="1"/>
  </sheetViews>
  <pageMargins left="0.7" right="0.7" top="0.75" bottom="0.75" header="0.3" footer="0.3"/>
  <pageSetup orientation="landscape" r:id="rId1"/>
  <drawing r:id="rId2"/>
</chartsheet>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6_3">
  <dgm:title val=""/>
  <dgm:desc val=""/>
  <dgm:catLst>
    <dgm:cat type="accent6" pri="11300"/>
  </dgm:catLst>
  <dgm:styleLbl name="node0">
    <dgm:fillClrLst meth="repeat">
      <a:schemeClr val="accent6">
        <a:shade val="80000"/>
      </a:schemeClr>
    </dgm:fillClrLst>
    <dgm:linClrLst meth="repeat">
      <a:schemeClr val="lt1"/>
    </dgm:linClrLst>
    <dgm:effectClrLst/>
    <dgm:txLinClrLst/>
    <dgm:txFillClrLst/>
    <dgm:txEffectClrLst/>
  </dgm:styleLbl>
  <dgm:styleLbl name="node1">
    <dgm:fillClrLst>
      <a:schemeClr val="accent6">
        <a:shade val="80000"/>
      </a:schemeClr>
      <a:schemeClr val="accent6">
        <a:tint val="70000"/>
      </a:schemeClr>
    </dgm:fillClrLst>
    <dgm:linClrLst meth="repeat">
      <a:schemeClr val="lt1"/>
    </dgm:linClrLst>
    <dgm:effectClrLst/>
    <dgm:txLinClrLst/>
    <dgm:txFillClrLst/>
    <dgm:txEffectClrLst/>
  </dgm:styleLbl>
  <dgm:styleLbl name="alignNode1">
    <dgm:fillClrLst>
      <a:schemeClr val="accent6">
        <a:shade val="80000"/>
      </a:schemeClr>
      <a:schemeClr val="accent6">
        <a:tint val="70000"/>
      </a:schemeClr>
    </dgm:fillClrLst>
    <dgm:linClrLst>
      <a:schemeClr val="accent6">
        <a:shade val="80000"/>
      </a:schemeClr>
      <a:schemeClr val="accent6">
        <a:tint val="70000"/>
      </a:schemeClr>
    </dgm:linClrLst>
    <dgm:effectClrLst/>
    <dgm:txLinClrLst/>
    <dgm:txFillClrLst/>
    <dgm:txEffectClrLst/>
  </dgm:styleLbl>
  <dgm:styleLbl name="lnNode1">
    <dgm:fillClrLst>
      <a:schemeClr val="accent6">
        <a:shade val="80000"/>
      </a:schemeClr>
      <a:schemeClr val="accent6">
        <a:tint val="70000"/>
      </a:schemeClr>
    </dgm:fillClrLst>
    <dgm:linClrLst meth="repeat">
      <a:schemeClr val="lt1"/>
    </dgm:linClrLst>
    <dgm:effectClrLst/>
    <dgm:txLinClrLst/>
    <dgm:txFillClrLst/>
    <dgm:txEffectClrLst/>
  </dgm:styleLbl>
  <dgm:styleLbl name="vennNode1">
    <dgm:fillClrLst>
      <a:schemeClr val="accent6">
        <a:shade val="80000"/>
        <a:alpha val="50000"/>
      </a:schemeClr>
      <a:schemeClr val="accent6">
        <a:tint val="70000"/>
        <a:alpha val="50000"/>
      </a:schemeClr>
    </dgm:fillClrLst>
    <dgm:linClrLst meth="repeat">
      <a:schemeClr val="lt1"/>
    </dgm:linClrLst>
    <dgm:effectClrLst/>
    <dgm:txLinClrLst/>
    <dgm:txFillClrLst/>
    <dgm:txEffectClrLst/>
  </dgm:styleLbl>
  <dgm:styleLbl name="node2">
    <dgm:fillClrLst>
      <a:schemeClr val="accent6">
        <a:tint val="99000"/>
      </a:schemeClr>
    </dgm:fillClrLst>
    <dgm:linClrLst meth="repeat">
      <a:schemeClr val="lt1"/>
    </dgm:linClrLst>
    <dgm:effectClrLst/>
    <dgm:txLinClrLst/>
    <dgm:txFillClrLst/>
    <dgm:txEffectClrLst/>
  </dgm:styleLbl>
  <dgm:styleLbl name="node3">
    <dgm:fillClrLst>
      <a:schemeClr val="accent6">
        <a:tint val="80000"/>
      </a:schemeClr>
    </dgm:fillClrLst>
    <dgm:linClrLst meth="repeat">
      <a:schemeClr val="lt1"/>
    </dgm:linClrLst>
    <dgm:effectClrLst/>
    <dgm:txLinClrLst/>
    <dgm:txFillClrLst/>
    <dgm:txEffectClrLst/>
  </dgm:styleLbl>
  <dgm:styleLbl name="node4">
    <dgm:fillClrLst>
      <a:schemeClr val="accent6">
        <a:tint val="70000"/>
      </a:schemeClr>
    </dgm:fillClrLst>
    <dgm:linClrLst meth="repeat">
      <a:schemeClr val="lt1"/>
    </dgm:linClrLst>
    <dgm:effectClrLst/>
    <dgm:txLinClrLst/>
    <dgm:txFillClrLst/>
    <dgm:txEffectClrLst/>
  </dgm:styleLbl>
  <dgm:styleLbl name="fg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dgm:txEffectClrLst/>
  </dgm:styleLbl>
  <dgm:styleLbl name="fg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lt1"/>
    </dgm:txFillClrLst>
    <dgm:txEffectClrLst/>
  </dgm:styleLbl>
  <dgm:styleLbl name="bg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lt1"/>
    </dgm:txFillClrLst>
    <dgm:txEffectClrLst/>
  </dgm:styleLbl>
  <dgm:styleLbl name="sibTrans1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tx1"/>
    </dgm:txFillClrLst>
    <dgm:txEffectClrLst/>
  </dgm:styleLbl>
  <dgm:styleLbl name="callout">
    <dgm:fillClrLst meth="repeat">
      <a:schemeClr val="accent6"/>
    </dgm:fillClrLst>
    <dgm:linClrLst meth="repeat">
      <a:schemeClr val="accent6"/>
    </dgm:linClrLst>
    <dgm:effectClrLst/>
    <dgm:txLinClrLst/>
    <dgm:txFillClrLst meth="repeat">
      <a:schemeClr val="tx1"/>
    </dgm:txFillClrLst>
    <dgm:txEffectClrLst/>
  </dgm:styleLbl>
  <dgm:styleLbl name="asst0">
    <dgm:fillClrLst meth="repeat">
      <a:schemeClr val="accent6">
        <a:shade val="80000"/>
      </a:schemeClr>
    </dgm:fillClrLst>
    <dgm:linClrLst meth="repeat">
      <a:schemeClr val="lt1"/>
    </dgm:linClrLst>
    <dgm:effectClrLst/>
    <dgm:txLinClrLst/>
    <dgm:txFillClrLst/>
    <dgm:txEffectClrLst/>
  </dgm:styleLbl>
  <dgm:styleLbl name="asst1">
    <dgm:fillClrLst meth="repeat">
      <a:schemeClr val="accent6">
        <a:shade val="80000"/>
      </a:schemeClr>
    </dgm:fillClrLst>
    <dgm:linClrLst meth="repeat">
      <a:schemeClr val="lt1"/>
    </dgm:linClrLst>
    <dgm:effectClrLst/>
    <dgm:txLinClrLst/>
    <dgm:txFillClrLst/>
    <dgm:txEffectClrLst/>
  </dgm:styleLbl>
  <dgm:styleLbl name="asst2">
    <dgm:fillClrLst>
      <a:schemeClr val="accent6">
        <a:tint val="99000"/>
      </a:schemeClr>
    </dgm:fillClrLst>
    <dgm:linClrLst meth="repeat">
      <a:schemeClr val="lt1"/>
    </dgm:linClrLst>
    <dgm:effectClrLst/>
    <dgm:txLinClrLst/>
    <dgm:txFillClrLst/>
    <dgm:txEffectClrLst/>
  </dgm:styleLbl>
  <dgm:styleLbl name="asst3">
    <dgm:fillClrLst>
      <a:schemeClr val="accent6">
        <a:tint val="80000"/>
      </a:schemeClr>
    </dgm:fillClrLst>
    <dgm:linClrLst meth="repeat">
      <a:schemeClr val="lt1"/>
    </dgm:linClrLst>
    <dgm:effectClrLst/>
    <dgm:txLinClrLst/>
    <dgm:txFillClrLst/>
    <dgm:txEffectClrLst/>
  </dgm:styleLbl>
  <dgm:styleLbl name="asst4">
    <dgm:fillClrLst>
      <a:schemeClr val="accent6">
        <a:tint val="70000"/>
      </a:schemeClr>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a:tint val="90000"/>
      </a:schemeClr>
    </dgm:fillClrLst>
    <dgm:linClrLst meth="repeat">
      <a:schemeClr val="accent6">
        <a:tint val="90000"/>
      </a:schemeClr>
    </dgm:linClrLst>
    <dgm:effectClrLst/>
    <dgm:txLinClrLst/>
    <dgm:txFillClrLst/>
    <dgm:txEffectClrLst/>
  </dgm:styleLbl>
  <dgm:styleLbl name="parChTrans2D3">
    <dgm:fillClrLst meth="repeat">
      <a:schemeClr val="accent6">
        <a:tint val="70000"/>
      </a:schemeClr>
    </dgm:fillClrLst>
    <dgm:linClrLst meth="repeat">
      <a:schemeClr val="accent6">
        <a:tint val="70000"/>
      </a:schemeClr>
    </dgm:linClrLst>
    <dgm:effectClrLst/>
    <dgm:txLinClrLst/>
    <dgm:txFillClrLst/>
    <dgm:txEffectClrLst/>
  </dgm:styleLbl>
  <dgm:styleLbl name="parChTrans2D4">
    <dgm:fillClrLst meth="repeat">
      <a:schemeClr val="accent6">
        <a:tint val="50000"/>
      </a:schemeClr>
    </dgm:fillClrLst>
    <dgm:linClrLst meth="repeat">
      <a:schemeClr val="accent6">
        <a:tint val="50000"/>
      </a:schemeClr>
    </dgm:linClrLst>
    <dgm:effectClrLst/>
    <dgm:txLinClrLst/>
    <dgm:txFillClrLst meth="repeat">
      <a:schemeClr val="lt1"/>
    </dgm:txFillClrLst>
    <dgm:txEffectClrLst/>
  </dgm:styleLbl>
  <dgm:styleLbl name="parChTrans1D1">
    <dgm:fillClrLst meth="repeat">
      <a:schemeClr val="accent6">
        <a:shade val="80000"/>
      </a:schemeClr>
    </dgm:fillClrLst>
    <dgm:linClrLst meth="repeat">
      <a:schemeClr val="accent6">
        <a:shade val="80000"/>
      </a:schemeClr>
    </dgm:linClrLst>
    <dgm:effectClrLst/>
    <dgm:txLinClrLst/>
    <dgm:txFillClrLst meth="repeat">
      <a:schemeClr val="tx1"/>
    </dgm:txFillClrLst>
    <dgm:txEffectClrLst/>
  </dgm:styleLbl>
  <dgm:styleLbl name="parChTrans1D2">
    <dgm:fillClrLst meth="repeat">
      <a:schemeClr val="accent6">
        <a:tint val="99000"/>
      </a:schemeClr>
    </dgm:fillClrLst>
    <dgm:linClrLst meth="repeat">
      <a:schemeClr val="accent6">
        <a:tint val="99000"/>
      </a:schemeClr>
    </dgm:linClrLst>
    <dgm:effectClrLst/>
    <dgm:txLinClrLst/>
    <dgm:txFillClrLst meth="repeat">
      <a:schemeClr val="tx1"/>
    </dgm:txFillClrLst>
    <dgm:txEffectClrLst/>
  </dgm:styleLbl>
  <dgm:styleLbl name="parChTrans1D3">
    <dgm:fillClrLst meth="repeat">
      <a:schemeClr val="accent6">
        <a:tint val="80000"/>
      </a:schemeClr>
    </dgm:fillClrLst>
    <dgm:linClrLst meth="repeat">
      <a:schemeClr val="accent6">
        <a:tint val="80000"/>
      </a:schemeClr>
    </dgm:linClrLst>
    <dgm:effectClrLst/>
    <dgm:txLinClrLst/>
    <dgm:txFillClrLst meth="repeat">
      <a:schemeClr val="tx1"/>
    </dgm:txFillClrLst>
    <dgm:txEffectClrLst/>
  </dgm:styleLbl>
  <dgm:styleLbl name="parChTrans1D4">
    <dgm:fillClrLst meth="repeat">
      <a:schemeClr val="accent6">
        <a:tint val="70000"/>
      </a:schemeClr>
    </dgm:fillClrLst>
    <dgm:linClrLst meth="repeat">
      <a:schemeClr val="accent6">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6">
        <a:shade val="80000"/>
      </a:schemeClr>
      <a:schemeClr val="accent6">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a:tint val="70000"/>
      </a:schemeClr>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6">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D48FEFC-9DFA-45C4-A5B3-D6B073315A97}" type="doc">
      <dgm:prSet loTypeId="urn:microsoft.com/office/officeart/2005/8/layout/chevron1" loCatId="process" qsTypeId="urn:microsoft.com/office/officeart/2005/8/quickstyle/simple2" qsCatId="simple" csTypeId="urn:microsoft.com/office/officeart/2005/8/colors/accent6_3" csCatId="accent6" phldr="1"/>
      <dgm:spPr/>
    </dgm:pt>
    <dgm:pt modelId="{0B75B560-7FAE-463E-9110-76BFF19028F2}">
      <dgm:prSet phldrT="[Text]"/>
      <dgm:spPr/>
      <dgm:t>
        <a:bodyPr/>
        <a:lstStyle/>
        <a:p>
          <a:r>
            <a:rPr lang="en-US"/>
            <a:t>Start on the ROI Tab</a:t>
          </a:r>
        </a:p>
      </dgm:t>
    </dgm:pt>
    <dgm:pt modelId="{743C3304-E6A9-4289-80CB-0EC1181C2696}" type="parTrans" cxnId="{DCC6BC1E-0108-4833-9D6E-8175C2EAE29F}">
      <dgm:prSet/>
      <dgm:spPr/>
      <dgm:t>
        <a:bodyPr/>
        <a:lstStyle/>
        <a:p>
          <a:endParaRPr lang="en-US"/>
        </a:p>
      </dgm:t>
    </dgm:pt>
    <dgm:pt modelId="{4265B4A1-146C-4557-9410-A7A4DFFFD9EC}" type="sibTrans" cxnId="{DCC6BC1E-0108-4833-9D6E-8175C2EAE29F}">
      <dgm:prSet/>
      <dgm:spPr/>
      <dgm:t>
        <a:bodyPr/>
        <a:lstStyle/>
        <a:p>
          <a:endParaRPr lang="en-US"/>
        </a:p>
      </dgm:t>
    </dgm:pt>
    <dgm:pt modelId="{29FF6A0A-A74F-48CF-AEFF-8C4D2760310E}">
      <dgm:prSet phldrT="[Text]"/>
      <dgm:spPr/>
      <dgm:t>
        <a:bodyPr/>
        <a:lstStyle/>
        <a:p>
          <a:r>
            <a:rPr lang="en-US"/>
            <a:t>Provide non-calculated totals for the balance sheet and income statement</a:t>
          </a:r>
        </a:p>
      </dgm:t>
    </dgm:pt>
    <dgm:pt modelId="{D0D50446-C7DC-47B1-B7D7-CEEA6C57E564}" type="parTrans" cxnId="{8E0E22BB-5D04-41ED-AE0A-D4D53511DDA6}">
      <dgm:prSet/>
      <dgm:spPr/>
      <dgm:t>
        <a:bodyPr/>
        <a:lstStyle/>
        <a:p>
          <a:endParaRPr lang="en-US"/>
        </a:p>
      </dgm:t>
    </dgm:pt>
    <dgm:pt modelId="{ABFB871E-9C92-4F15-B641-219731085257}" type="sibTrans" cxnId="{8E0E22BB-5D04-41ED-AE0A-D4D53511DDA6}">
      <dgm:prSet/>
      <dgm:spPr/>
      <dgm:t>
        <a:bodyPr/>
        <a:lstStyle/>
        <a:p>
          <a:endParaRPr lang="en-US"/>
        </a:p>
      </dgm:t>
    </dgm:pt>
    <dgm:pt modelId="{6F64570A-F42D-47A7-901F-4D0DF97630FB}">
      <dgm:prSet phldrT="[Text]"/>
      <dgm:spPr/>
      <dgm:t>
        <a:bodyPr/>
        <a:lstStyle/>
        <a:p>
          <a:r>
            <a:rPr lang="en-US"/>
            <a:t>View analysis figures on the ROI and Efficiency tabs</a:t>
          </a:r>
        </a:p>
      </dgm:t>
    </dgm:pt>
    <dgm:pt modelId="{1E910855-AB76-4CB7-955D-F01B18044521}" type="parTrans" cxnId="{F7F5239E-5A4D-436C-8C07-3950A9E9387A}">
      <dgm:prSet/>
      <dgm:spPr/>
      <dgm:t>
        <a:bodyPr/>
        <a:lstStyle/>
        <a:p>
          <a:endParaRPr lang="en-US"/>
        </a:p>
      </dgm:t>
    </dgm:pt>
    <dgm:pt modelId="{D06059FE-4944-438E-992E-33D9CB31873B}" type="sibTrans" cxnId="{F7F5239E-5A4D-436C-8C07-3950A9E9387A}">
      <dgm:prSet/>
      <dgm:spPr/>
      <dgm:t>
        <a:bodyPr/>
        <a:lstStyle/>
        <a:p>
          <a:endParaRPr lang="en-US"/>
        </a:p>
      </dgm:t>
    </dgm:pt>
    <dgm:pt modelId="{54A9EB2D-ABE8-4ACD-A24C-1C8268624E28}" type="pres">
      <dgm:prSet presAssocID="{2D48FEFC-9DFA-45C4-A5B3-D6B073315A97}" presName="Name0" presStyleCnt="0">
        <dgm:presLayoutVars>
          <dgm:dir/>
          <dgm:animLvl val="lvl"/>
          <dgm:resizeHandles val="exact"/>
        </dgm:presLayoutVars>
      </dgm:prSet>
      <dgm:spPr/>
    </dgm:pt>
    <dgm:pt modelId="{B6943065-9D93-4C84-849C-F6C307E5BDF6}" type="pres">
      <dgm:prSet presAssocID="{0B75B560-7FAE-463E-9110-76BFF19028F2}" presName="parTxOnly" presStyleLbl="node1" presStyleIdx="0" presStyleCnt="3">
        <dgm:presLayoutVars>
          <dgm:chMax val="0"/>
          <dgm:chPref val="0"/>
          <dgm:bulletEnabled val="1"/>
        </dgm:presLayoutVars>
      </dgm:prSet>
      <dgm:spPr/>
    </dgm:pt>
    <dgm:pt modelId="{8DBBEF2E-4665-4587-B307-D95F487DEBB8}" type="pres">
      <dgm:prSet presAssocID="{4265B4A1-146C-4557-9410-A7A4DFFFD9EC}" presName="parTxOnlySpace" presStyleCnt="0"/>
      <dgm:spPr/>
    </dgm:pt>
    <dgm:pt modelId="{F7521934-10DA-4E37-8678-0B967897866C}" type="pres">
      <dgm:prSet presAssocID="{29FF6A0A-A74F-48CF-AEFF-8C4D2760310E}" presName="parTxOnly" presStyleLbl="node1" presStyleIdx="1" presStyleCnt="3">
        <dgm:presLayoutVars>
          <dgm:chMax val="0"/>
          <dgm:chPref val="0"/>
          <dgm:bulletEnabled val="1"/>
        </dgm:presLayoutVars>
      </dgm:prSet>
      <dgm:spPr/>
    </dgm:pt>
    <dgm:pt modelId="{FD484CFC-8E09-43B8-86F9-2CB469BDE2DA}" type="pres">
      <dgm:prSet presAssocID="{ABFB871E-9C92-4F15-B641-219731085257}" presName="parTxOnlySpace" presStyleCnt="0"/>
      <dgm:spPr/>
    </dgm:pt>
    <dgm:pt modelId="{31DB9C14-6ADC-48F0-8199-46307B6655A2}" type="pres">
      <dgm:prSet presAssocID="{6F64570A-F42D-47A7-901F-4D0DF97630FB}" presName="parTxOnly" presStyleLbl="node1" presStyleIdx="2" presStyleCnt="3">
        <dgm:presLayoutVars>
          <dgm:chMax val="0"/>
          <dgm:chPref val="0"/>
          <dgm:bulletEnabled val="1"/>
        </dgm:presLayoutVars>
      </dgm:prSet>
      <dgm:spPr/>
    </dgm:pt>
  </dgm:ptLst>
  <dgm:cxnLst>
    <dgm:cxn modelId="{DCC6BC1E-0108-4833-9D6E-8175C2EAE29F}" srcId="{2D48FEFC-9DFA-45C4-A5B3-D6B073315A97}" destId="{0B75B560-7FAE-463E-9110-76BFF19028F2}" srcOrd="0" destOrd="0" parTransId="{743C3304-E6A9-4289-80CB-0EC1181C2696}" sibTransId="{4265B4A1-146C-4557-9410-A7A4DFFFD9EC}"/>
    <dgm:cxn modelId="{3451E6F1-781B-445B-AF03-9519FEF131C7}" type="presOf" srcId="{29FF6A0A-A74F-48CF-AEFF-8C4D2760310E}" destId="{F7521934-10DA-4E37-8678-0B967897866C}" srcOrd="0" destOrd="0" presId="urn:microsoft.com/office/officeart/2005/8/layout/chevron1"/>
    <dgm:cxn modelId="{96B67648-AE68-45E2-9E42-07FDECE4E3F5}" type="presOf" srcId="{6F64570A-F42D-47A7-901F-4D0DF97630FB}" destId="{31DB9C14-6ADC-48F0-8199-46307B6655A2}" srcOrd="0" destOrd="0" presId="urn:microsoft.com/office/officeart/2005/8/layout/chevron1"/>
    <dgm:cxn modelId="{32395FD3-9578-4719-A076-597D4E84A8B1}" type="presOf" srcId="{0B75B560-7FAE-463E-9110-76BFF19028F2}" destId="{B6943065-9D93-4C84-849C-F6C307E5BDF6}" srcOrd="0" destOrd="0" presId="urn:microsoft.com/office/officeart/2005/8/layout/chevron1"/>
    <dgm:cxn modelId="{8E0E22BB-5D04-41ED-AE0A-D4D53511DDA6}" srcId="{2D48FEFC-9DFA-45C4-A5B3-D6B073315A97}" destId="{29FF6A0A-A74F-48CF-AEFF-8C4D2760310E}" srcOrd="1" destOrd="0" parTransId="{D0D50446-C7DC-47B1-B7D7-CEEA6C57E564}" sibTransId="{ABFB871E-9C92-4F15-B641-219731085257}"/>
    <dgm:cxn modelId="{D55C9FC6-582A-4662-905D-D47F0D930FBA}" type="presOf" srcId="{2D48FEFC-9DFA-45C4-A5B3-D6B073315A97}" destId="{54A9EB2D-ABE8-4ACD-A24C-1C8268624E28}" srcOrd="0" destOrd="0" presId="urn:microsoft.com/office/officeart/2005/8/layout/chevron1"/>
    <dgm:cxn modelId="{F7F5239E-5A4D-436C-8C07-3950A9E9387A}" srcId="{2D48FEFC-9DFA-45C4-A5B3-D6B073315A97}" destId="{6F64570A-F42D-47A7-901F-4D0DF97630FB}" srcOrd="2" destOrd="0" parTransId="{1E910855-AB76-4CB7-955D-F01B18044521}" sibTransId="{D06059FE-4944-438E-992E-33D9CB31873B}"/>
    <dgm:cxn modelId="{F2617ED3-B94D-45AB-9026-98E324E64205}" type="presParOf" srcId="{54A9EB2D-ABE8-4ACD-A24C-1C8268624E28}" destId="{B6943065-9D93-4C84-849C-F6C307E5BDF6}" srcOrd="0" destOrd="0" presId="urn:microsoft.com/office/officeart/2005/8/layout/chevron1"/>
    <dgm:cxn modelId="{2C3B282D-E16A-41CF-9DA0-D3731789F26E}" type="presParOf" srcId="{54A9EB2D-ABE8-4ACD-A24C-1C8268624E28}" destId="{8DBBEF2E-4665-4587-B307-D95F487DEBB8}" srcOrd="1" destOrd="0" presId="urn:microsoft.com/office/officeart/2005/8/layout/chevron1"/>
    <dgm:cxn modelId="{F1A575F3-95AD-446D-B141-E20B32AAEAE6}" type="presParOf" srcId="{54A9EB2D-ABE8-4ACD-A24C-1C8268624E28}" destId="{F7521934-10DA-4E37-8678-0B967897866C}" srcOrd="2" destOrd="0" presId="urn:microsoft.com/office/officeart/2005/8/layout/chevron1"/>
    <dgm:cxn modelId="{057746DF-28F4-40F4-B60E-D9281F4BECBC}" type="presParOf" srcId="{54A9EB2D-ABE8-4ACD-A24C-1C8268624E28}" destId="{FD484CFC-8E09-43B8-86F9-2CB469BDE2DA}" srcOrd="3" destOrd="0" presId="urn:microsoft.com/office/officeart/2005/8/layout/chevron1"/>
    <dgm:cxn modelId="{0D25ACD6-E2B2-45FF-8990-AA53FFC954B7}" type="presParOf" srcId="{54A9EB2D-ABE8-4ACD-A24C-1C8268624E28}" destId="{31DB9C14-6ADC-48F0-8199-46307B6655A2}" srcOrd="4" destOrd="0" presId="urn:microsoft.com/office/officeart/2005/8/layout/chevron1"/>
  </dgm:cxnLst>
  <dgm:bg/>
  <dgm:whole/>
  <dgm:extLst>
    <a:ext uri="http://schemas.microsoft.com/office/drawing/2008/diagram">
      <dsp:dataModelExt xmlns:dsp="http://schemas.microsoft.com/office/drawing/2008/diagram" relId="rId5" minVer="http://schemas.openxmlformats.org/drawingml/2006/diagram"/>
    </a:ext>
    <a:ext uri="{C62137D5-CB1D-491B-B009-E17868A290BF}">
      <dgm14:recolorImg xmlns:dgm14="http://schemas.microsoft.com/office/drawing/2010/diagram" val="1"/>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6943065-9D93-4C84-849C-F6C307E5BDF6}">
      <dsp:nvSpPr>
        <dsp:cNvPr id="0" name=""/>
        <dsp:cNvSpPr/>
      </dsp:nvSpPr>
      <dsp:spPr>
        <a:xfrm>
          <a:off x="1956" y="332838"/>
          <a:ext cx="2383934" cy="953573"/>
        </a:xfrm>
        <a:prstGeom prst="chevron">
          <a:avLst/>
        </a:prstGeom>
        <a:solidFill>
          <a:schemeClr val="accent6">
            <a:shade val="80000"/>
            <a:hueOff val="0"/>
            <a:satOff val="0"/>
            <a:lumOff val="0"/>
            <a:alphaOff val="0"/>
          </a:schemeClr>
        </a:solidFill>
        <a:ln w="25400" cap="flat" cmpd="sng" algn="ctr">
          <a:solidFill>
            <a:schemeClr val="lt1">
              <a:hueOff val="0"/>
              <a:satOff val="0"/>
              <a:lumOff val="0"/>
              <a:alphaOff val="0"/>
            </a:schemeClr>
          </a:solidFill>
          <a:prstDash val="solid"/>
        </a:ln>
        <a:effectLst>
          <a:outerShdw blurRad="63500" dist="25400" dir="5400000" rotWithShape="0">
            <a:srgbClr val="000000">
              <a:alpha val="43137"/>
            </a:srgbClr>
          </a:outerShdw>
        </a:effectLst>
      </dsp:spPr>
      <dsp:style>
        <a:lnRef idx="3">
          <a:scrgbClr r="0" g="0" b="0"/>
        </a:lnRef>
        <a:fillRef idx="1">
          <a:scrgbClr r="0" g="0" b="0"/>
        </a:fillRef>
        <a:effectRef idx="1">
          <a:scrgbClr r="0" g="0" b="0"/>
        </a:effectRef>
        <a:fontRef idx="minor">
          <a:schemeClr val="lt1"/>
        </a:fontRef>
      </dsp:style>
      <dsp:txBody>
        <a:bodyPr spcFirstLastPara="0" vert="horz" wrap="square" lIns="52007" tIns="17336" rIns="17336" bIns="17336" numCol="1" spcCol="1270" anchor="ctr" anchorCtr="0">
          <a:noAutofit/>
        </a:bodyPr>
        <a:lstStyle/>
        <a:p>
          <a:pPr marL="0" lvl="0" indent="0" algn="ctr" defTabSz="577850">
            <a:lnSpc>
              <a:spcPct val="90000"/>
            </a:lnSpc>
            <a:spcBef>
              <a:spcPct val="0"/>
            </a:spcBef>
            <a:spcAft>
              <a:spcPct val="35000"/>
            </a:spcAft>
            <a:buNone/>
          </a:pPr>
          <a:r>
            <a:rPr lang="en-US" sz="1300" kern="1200"/>
            <a:t>Start on the ROI Tab</a:t>
          </a:r>
        </a:p>
      </dsp:txBody>
      <dsp:txXfrm>
        <a:off x="478743" y="332838"/>
        <a:ext cx="1430361" cy="953573"/>
      </dsp:txXfrm>
    </dsp:sp>
    <dsp:sp modelId="{F7521934-10DA-4E37-8678-0B967897866C}">
      <dsp:nvSpPr>
        <dsp:cNvPr id="0" name=""/>
        <dsp:cNvSpPr/>
      </dsp:nvSpPr>
      <dsp:spPr>
        <a:xfrm>
          <a:off x="2147498" y="332838"/>
          <a:ext cx="2383934" cy="953573"/>
        </a:xfrm>
        <a:prstGeom prst="chevron">
          <a:avLst/>
        </a:prstGeom>
        <a:solidFill>
          <a:schemeClr val="accent6">
            <a:shade val="80000"/>
            <a:hueOff val="111374"/>
            <a:satOff val="-8680"/>
            <a:lumOff val="14999"/>
            <a:alphaOff val="0"/>
          </a:schemeClr>
        </a:solidFill>
        <a:ln w="25400" cap="flat" cmpd="sng" algn="ctr">
          <a:solidFill>
            <a:schemeClr val="lt1">
              <a:hueOff val="0"/>
              <a:satOff val="0"/>
              <a:lumOff val="0"/>
              <a:alphaOff val="0"/>
            </a:schemeClr>
          </a:solidFill>
          <a:prstDash val="solid"/>
        </a:ln>
        <a:effectLst>
          <a:outerShdw blurRad="63500" dist="25400" dir="5400000" rotWithShape="0">
            <a:srgbClr val="000000">
              <a:alpha val="43137"/>
            </a:srgbClr>
          </a:outerShdw>
        </a:effectLst>
      </dsp:spPr>
      <dsp:style>
        <a:lnRef idx="3">
          <a:scrgbClr r="0" g="0" b="0"/>
        </a:lnRef>
        <a:fillRef idx="1">
          <a:scrgbClr r="0" g="0" b="0"/>
        </a:fillRef>
        <a:effectRef idx="1">
          <a:scrgbClr r="0" g="0" b="0"/>
        </a:effectRef>
        <a:fontRef idx="minor">
          <a:schemeClr val="lt1"/>
        </a:fontRef>
      </dsp:style>
      <dsp:txBody>
        <a:bodyPr spcFirstLastPara="0" vert="horz" wrap="square" lIns="52007" tIns="17336" rIns="17336" bIns="17336" numCol="1" spcCol="1270" anchor="ctr" anchorCtr="0">
          <a:noAutofit/>
        </a:bodyPr>
        <a:lstStyle/>
        <a:p>
          <a:pPr marL="0" lvl="0" indent="0" algn="ctr" defTabSz="577850">
            <a:lnSpc>
              <a:spcPct val="90000"/>
            </a:lnSpc>
            <a:spcBef>
              <a:spcPct val="0"/>
            </a:spcBef>
            <a:spcAft>
              <a:spcPct val="35000"/>
            </a:spcAft>
            <a:buNone/>
          </a:pPr>
          <a:r>
            <a:rPr lang="en-US" sz="1300" kern="1200"/>
            <a:t>Provide non-calculated totals for the balance sheet and income statement</a:t>
          </a:r>
        </a:p>
      </dsp:txBody>
      <dsp:txXfrm>
        <a:off x="2624285" y="332838"/>
        <a:ext cx="1430361" cy="953573"/>
      </dsp:txXfrm>
    </dsp:sp>
    <dsp:sp modelId="{31DB9C14-6ADC-48F0-8199-46307B6655A2}">
      <dsp:nvSpPr>
        <dsp:cNvPr id="0" name=""/>
        <dsp:cNvSpPr/>
      </dsp:nvSpPr>
      <dsp:spPr>
        <a:xfrm>
          <a:off x="4293039" y="332838"/>
          <a:ext cx="2383934" cy="953573"/>
        </a:xfrm>
        <a:prstGeom prst="chevron">
          <a:avLst/>
        </a:prstGeom>
        <a:solidFill>
          <a:schemeClr val="accent6">
            <a:shade val="80000"/>
            <a:hueOff val="222748"/>
            <a:satOff val="-17359"/>
            <a:lumOff val="29999"/>
            <a:alphaOff val="0"/>
          </a:schemeClr>
        </a:solidFill>
        <a:ln w="25400" cap="flat" cmpd="sng" algn="ctr">
          <a:solidFill>
            <a:schemeClr val="lt1">
              <a:hueOff val="0"/>
              <a:satOff val="0"/>
              <a:lumOff val="0"/>
              <a:alphaOff val="0"/>
            </a:schemeClr>
          </a:solidFill>
          <a:prstDash val="solid"/>
        </a:ln>
        <a:effectLst>
          <a:outerShdw blurRad="63500" dist="25400" dir="5400000" rotWithShape="0">
            <a:srgbClr val="000000">
              <a:alpha val="43137"/>
            </a:srgbClr>
          </a:outerShdw>
        </a:effectLst>
      </dsp:spPr>
      <dsp:style>
        <a:lnRef idx="3">
          <a:scrgbClr r="0" g="0" b="0"/>
        </a:lnRef>
        <a:fillRef idx="1">
          <a:scrgbClr r="0" g="0" b="0"/>
        </a:fillRef>
        <a:effectRef idx="1">
          <a:scrgbClr r="0" g="0" b="0"/>
        </a:effectRef>
        <a:fontRef idx="minor">
          <a:schemeClr val="lt1"/>
        </a:fontRef>
      </dsp:style>
      <dsp:txBody>
        <a:bodyPr spcFirstLastPara="0" vert="horz" wrap="square" lIns="52007" tIns="17336" rIns="17336" bIns="17336" numCol="1" spcCol="1270" anchor="ctr" anchorCtr="0">
          <a:noAutofit/>
        </a:bodyPr>
        <a:lstStyle/>
        <a:p>
          <a:pPr marL="0" lvl="0" indent="0" algn="ctr" defTabSz="577850">
            <a:lnSpc>
              <a:spcPct val="90000"/>
            </a:lnSpc>
            <a:spcBef>
              <a:spcPct val="0"/>
            </a:spcBef>
            <a:spcAft>
              <a:spcPct val="35000"/>
            </a:spcAft>
            <a:buNone/>
          </a:pPr>
          <a:r>
            <a:rPr lang="en-US" sz="1300" kern="1200"/>
            <a:t>View analysis figures on the ROI and Efficiency tabs</a:t>
          </a:r>
        </a:p>
      </dsp:txBody>
      <dsp:txXfrm>
        <a:off x="4769826" y="332838"/>
        <a:ext cx="1430361" cy="953573"/>
      </dsp:txXfrm>
    </dsp:sp>
  </dsp:spTree>
</dsp:drawing>
</file>

<file path=xl/diagrams/layout1.xml><?xml version="1.0" encoding="utf-8"?>
<dgm:layoutDef xmlns:dgm="http://schemas.openxmlformats.org/drawingml/2006/diagram" xmlns:a="http://schemas.openxmlformats.org/drawingml/2006/main" uniqueId="urn:microsoft.com/office/officeart/2005/8/layout/chevron1">
  <dgm:title val=""/>
  <dgm:desc val=""/>
  <dgm:catLst>
    <dgm:cat type="process" pri="9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des" func="maxDepth" op="gte" val="2">
        <dgm:constrLst>
          <dgm:constr type="h" for="ch" forName="composite" refType="h"/>
          <dgm:constr type="w" for="ch" forName="composite" refType="w"/>
          <dgm:constr type="w" for="des" forName="parTx"/>
          <dgm:constr type="h" for="des" forName="parTx" op="equ"/>
          <dgm:constr type="w" for="des" forName="desTx"/>
          <dgm:constr type="h" for="des" forName="desTx" op="equ"/>
          <dgm:constr type="primFontSz" for="des" forName="parTx" val="65"/>
          <dgm:constr type="secFontSz" for="des" forName="desTx" refType="primFontSz" refFor="des" refForName="parTx" op="equ"/>
          <dgm:constr type="h" for="des" forName="parTx" refType="primFontSz" refFor="des" refForName="parTx" fact="1.5"/>
          <dgm:constr type="h" for="des" forName="desTx" refType="primFontSz" refFor="des" refForName="parTx" fact="0.5"/>
          <dgm:constr type="w" for="ch" forName="space" op="equ" val="-6"/>
        </dgm:constrLst>
        <dgm:ruleLst>
          <dgm:rule type="w" for="ch" forName="composite" val="0" fact="NaN" max="NaN"/>
          <dgm:rule type="primFontSz" for="des" forName="parTx" val="5" fact="NaN" max="NaN"/>
        </dgm:ruleLst>
        <dgm:forEach name="Name6" axis="ch" ptType="node">
          <dgm:layoutNode name="composite">
            <dgm:alg type="composite"/>
            <dgm:shape xmlns:r="http://schemas.openxmlformats.org/officeDocument/2006/relationships" r:blip="">
              <dgm:adjLst/>
            </dgm:shape>
            <dgm:presOf/>
            <dgm:choose name="Name7">
              <dgm:if name="Name8" func="var" arg="dir" op="equ" val="norm">
                <dgm:constrLst>
                  <dgm:constr type="l" for="ch" forName="parTx"/>
                  <dgm:constr type="w" for="ch" forName="parTx" refType="w"/>
                  <dgm:constr type="t" for="ch" forName="parTx"/>
                  <dgm:constr type="l" for="ch" forName="desTx"/>
                  <dgm:constr type="w" for="ch" forName="desTx" refType="w" refFor="ch" refForName="parTx" fact="0.8"/>
                  <dgm:constr type="t" for="ch" forName="desTx" refType="h" refFor="ch" refForName="parTx" fact="1.125"/>
                </dgm:constrLst>
              </dgm:if>
              <dgm:else name="Name9">
                <dgm:constrLst>
                  <dgm:constr type="l" for="ch" forName="parTx"/>
                  <dgm:constr type="w" for="ch" forName="parTx" refType="w"/>
                  <dgm:constr type="t" for="ch" forName="parTx"/>
                  <dgm:constr type="l" for="ch" forName="desTx" refType="w" fact="0.2"/>
                  <dgm:constr type="w" for="ch" forName="desTx" refType="w" refFor="ch" refForName="parTx" fact="0.8"/>
                  <dgm:constr type="t" for="ch" forName="desTx" refType="h" refFor="ch" refForName="parTx" fact="1.125"/>
                </dgm:constrLst>
              </dgm:else>
            </dgm:choose>
            <dgm:ruleLst>
              <dgm:rule type="h" val="INF" fact="NaN" max="NaN"/>
            </dgm:ruleLst>
            <dgm:layoutNode name="parTx">
              <dgm:varLst>
                <dgm:chMax val="0"/>
                <dgm:chPref val="0"/>
                <dgm:bulletEnabled val="1"/>
              </dgm:varLst>
              <dgm:alg type="tx"/>
              <dgm:choose name="Name10">
                <dgm:if name="Name11" func="var" arg="dir" op="equ" val="norm">
                  <dgm:shape xmlns:r="http://schemas.openxmlformats.org/officeDocument/2006/relationships" type="chevron" r:blip="">
                    <dgm:adjLst/>
                  </dgm:shape>
                </dgm:if>
                <dgm:else name="Name12">
                  <dgm:shape xmlns:r="http://schemas.openxmlformats.org/officeDocument/2006/relationships" rot="180" type="chevron" r:blip="">
                    <dgm:adjLst/>
                  </dgm:shape>
                </dgm:else>
              </dgm:choose>
              <dgm:presOf axis="self" ptType="node"/>
              <dgm:choose name="Name13">
                <dgm:if name="Name14" func="var" arg="dir" op="equ" val="norm">
                  <dgm:constrLst>
                    <dgm:constr type="h" refType="w" op="lte" fact="0.4"/>
                    <dgm:constr type="h"/>
                    <dgm:constr type="tMarg" refType="primFontSz" fact="0.105"/>
                    <dgm:constr type="bMarg" refType="primFontSz" fact="0.105"/>
                    <dgm:constr type="lMarg" refType="primFontSz" fact="0.315"/>
                    <dgm:constr type="rMarg" refType="primFontSz" fact="0.105"/>
                  </dgm:constrLst>
                </dgm:if>
                <dgm:else name="Name15">
                  <dgm:constrLst>
                    <dgm:constr type="h" refType="w" op="lte" fact="0.4"/>
                    <dgm:constr type="h"/>
                    <dgm:constr type="tMarg" refType="primFontSz" fact="0.105"/>
                    <dgm:constr type="bMarg" refType="primFontSz" fact="0.105"/>
                    <dgm:constr type="lMarg" refType="primFontSz" fact="0.105"/>
                    <dgm:constr type="rMarg" refType="primFontSz" fact="0.315"/>
                  </dgm:constrLst>
                </dgm:else>
              </dgm:choose>
              <dgm:ruleLst>
                <dgm:rule type="h" val="INF" fact="NaN" max="NaN"/>
              </dgm:ruleLst>
            </dgm:layoutNode>
            <dgm:layoutNode name="desTx" styleLbl="revTx">
              <dgm:varLst>
                <dgm:bulletEnabled val="1"/>
              </dgm:varLst>
              <dgm:alg type="tx">
                <dgm:param type="stBulletLvl" val="1"/>
              </dgm:alg>
              <dgm:choose name="Name16">
                <dgm:if name="Name17" axis="ch" ptType="node" func="cnt" op="gte" val="1">
                  <dgm:shape xmlns:r="http://schemas.openxmlformats.org/officeDocument/2006/relationships" type="rect" r:blip="">
                    <dgm:adjLst/>
                  </dgm:shape>
                </dgm:if>
                <dgm:else name="Name18">
                  <dgm:shape xmlns:r="http://schemas.openxmlformats.org/officeDocument/2006/relationships" type="rect" r:blip="" hideGeom="1">
                    <dgm:adjLst/>
                  </dgm:shape>
                </dgm:else>
              </dgm:choose>
              <dgm:presOf axis="des" ptType="node"/>
              <dgm:constrLst>
                <dgm:constr type="secFontSz" val="65"/>
                <dgm:constr type="primFontSz" refType="secFontSz"/>
                <dgm:constr type="h"/>
                <dgm:constr type="tMarg"/>
                <dgm:constr type="bMarg"/>
                <dgm:constr type="rMarg"/>
                <dgm:constr type="lMarg"/>
              </dgm:constrLst>
              <dgm:ruleLst>
                <dgm:rule type="h" val="INF" fact="NaN" max="NaN"/>
              </dgm:ruleLst>
            </dgm:layoutNode>
          </dgm:layoutNode>
          <dgm:forEach name="Name19" axis="followSib" ptType="sibTrans" cnt="1">
            <dgm:layoutNode name="space">
              <dgm:alg type="sp"/>
              <dgm:shape xmlns:r="http://schemas.openxmlformats.org/officeDocument/2006/relationships" r:blip="">
                <dgm:adjLst/>
              </dgm:shape>
              <dgm:presOf/>
              <dgm:constrLst/>
              <dgm:ruleLst/>
            </dgm:layoutNode>
          </dgm:forEach>
        </dgm:forEach>
      </dgm:if>
      <dgm:else name="Name20">
        <dgm:constrLst>
          <dgm:constr type="w" for="ch" forName="parTxOnly" refType="w"/>
          <dgm:constr type="h" for="des" forName="parTxOnly" op="equ"/>
          <dgm:constr type="primFontSz" for="des" forName="parTxOnly" op="equ" val="65"/>
          <dgm:constr type="w" for="ch" forName="parTxOnlySpace" refType="w" refFor="ch" refForName="parTxOnly" fact="-0.1"/>
        </dgm:constrLst>
        <dgm:ruleLst/>
        <dgm:forEach name="Name21" axis="ch" ptType="node">
          <dgm:layoutNode name="parTxOnly">
            <dgm:varLst>
              <dgm:chMax val="0"/>
              <dgm:chPref val="0"/>
              <dgm:bulletEnabled val="1"/>
            </dgm:varLst>
            <dgm:alg type="tx"/>
            <dgm:choose name="Name22">
              <dgm:if name="Name23" func="var" arg="dir" op="equ" val="norm">
                <dgm:shape xmlns:r="http://schemas.openxmlformats.org/officeDocument/2006/relationships" type="chevron" r:blip="">
                  <dgm:adjLst/>
                </dgm:shape>
              </dgm:if>
              <dgm:else name="Name24">
                <dgm:shape xmlns:r="http://schemas.openxmlformats.org/officeDocument/2006/relationships" rot="180" type="chevron" r:blip="">
                  <dgm:adjLst/>
                </dgm:shape>
              </dgm:else>
            </dgm:choose>
            <dgm:presOf axis="self" ptType="node"/>
            <dgm:choose name="Name25">
              <dgm:if name="Name26" func="var" arg="dir" op="equ" val="norm">
                <dgm:constrLst>
                  <dgm:constr type="h" refType="w" op="equ" fact="0.4"/>
                  <dgm:constr type="tMarg" refType="primFontSz" fact="0.105"/>
                  <dgm:constr type="bMarg" refType="primFontSz" fact="0.105"/>
                  <dgm:constr type="lMarg" refType="primFontSz" fact="0.315"/>
                  <dgm:constr type="rMarg" refType="primFontSz" fact="0.105"/>
                </dgm:constrLst>
              </dgm:if>
              <dgm:else name="Name27">
                <dgm:constrLst>
                  <dgm:constr type="h" refType="w" op="equ" fact="0.4"/>
                  <dgm:constr type="tMarg" refType="primFontSz" fact="0.105"/>
                  <dgm:constr type="bMarg" refType="primFontSz" fact="0.105"/>
                  <dgm:constr type="lMarg" refType="primFontSz" fact="0.105"/>
                  <dgm:constr type="rMarg" refType="primFontSz" fact="0.315"/>
                </dgm:constrLst>
              </dgm:else>
            </dgm:choose>
            <dgm:ruleLst>
              <dgm:rule type="primFontSz" val="5" fact="NaN" max="NaN"/>
            </dgm:ruleLst>
          </dgm:layoutNode>
          <dgm:forEach name="Name28" axis="followSib" ptType="sibTrans" cnt="1">
            <dgm:layoutNode name="parTxOnlySpace">
              <dgm:alg type="sp"/>
              <dgm:shape xmlns:r="http://schemas.openxmlformats.org/officeDocument/2006/relationships" r:blip="">
                <dgm:adjLst/>
              </dgm:shape>
              <dgm:presOf/>
              <dgm:constrLst/>
              <dgm:ruleLst/>
            </dgm:layoutNode>
          </dgm:forEach>
        </dgm:forEach>
      </dgm:else>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2">
  <dgm:title val=""/>
  <dgm:desc val=""/>
  <dgm:catLst>
    <dgm:cat type="simple" pri="10200"/>
  </dgm:catLst>
  <dgm:scene3d>
    <a:camera prst="orthographicFront"/>
    <a:lightRig rig="threePt" dir="t"/>
  </dgm:scene3d>
  <dgm:styleLbl name="node0">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lnNode1">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vennNode1">
    <dgm:scene3d>
      <a:camera prst="orthographicFront"/>
      <a:lightRig rig="threePt" dir="t"/>
    </dgm:scene3d>
    <dgm:sp3d/>
    <dgm:txPr/>
    <dgm:style>
      <a:lnRef idx="3">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1">
        <a:scrgbClr r="0" g="0" b="0"/>
      </a:effectRef>
      <a:fontRef idx="minor">
        <a:schemeClr val="lt1"/>
      </a:fontRef>
    </dgm:style>
  </dgm:styleLbl>
  <dgm:styleLbl name="node1">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node2">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node3">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node4">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fgImgPlace1">
    <dgm:scene3d>
      <a:camera prst="orthographicFront"/>
      <a:lightRig rig="threePt" dir="t"/>
    </dgm:scene3d>
    <dgm:sp3d/>
    <dgm:txPr/>
    <dgm:style>
      <a:lnRef idx="3">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3">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3">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1">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1">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1">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asst1">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asst2">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asst3">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asst4">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2D1">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2D2">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2D3">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2D4">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3">
        <a:scrgbClr r="0" g="0" b="0"/>
      </a:lnRef>
      <a:fillRef idx="1">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123824</xdr:colOff>
      <xdr:row>0</xdr:row>
      <xdr:rowOff>0</xdr:rowOff>
    </xdr:from>
    <xdr:ext cx="8734425" cy="627672"/>
    <xdr:sp macro="" textlink="">
      <xdr:nvSpPr>
        <xdr:cNvPr id="3" name="Rectangle 2"/>
        <xdr:cNvSpPr/>
      </xdr:nvSpPr>
      <xdr:spPr>
        <a:xfrm>
          <a:off x="123824" y="0"/>
          <a:ext cx="8734425" cy="627672"/>
        </a:xfrm>
        <a:prstGeom prst="rect">
          <a:avLst/>
        </a:prstGeom>
      </xdr:spPr>
      <xdr:style>
        <a:lnRef idx="2">
          <a:schemeClr val="dk1"/>
        </a:lnRef>
        <a:fillRef idx="1">
          <a:schemeClr val="lt1"/>
        </a:fillRef>
        <a:effectRef idx="0">
          <a:schemeClr val="dk1"/>
        </a:effectRef>
        <a:fontRef idx="minor">
          <a:schemeClr val="dk1"/>
        </a:fontRef>
      </xdr:style>
      <xdr:txBody>
        <a:bodyPr wrap="square" lIns="91440" tIns="45720" rIns="91440" bIns="45720">
          <a:spAutoFit/>
        </a:bodyPr>
        <a:lstStyle/>
        <a:p>
          <a:pPr algn="ctr"/>
          <a:r>
            <a:rPr lang="en-US" sz="3600" b="1" cap="none" spc="0">
              <a:ln w="19050">
                <a:solidFill>
                  <a:schemeClr val="tx2">
                    <a:tint val="1000"/>
                  </a:schemeClr>
                </a:solidFill>
                <a:prstDash val="solid"/>
              </a:ln>
              <a:solidFill>
                <a:schemeClr val="accent6">
                  <a:lumMod val="75000"/>
                </a:schemeClr>
              </a:solidFill>
              <a:effectLst>
                <a:outerShdw blurRad="50000" dist="50800" dir="7500000" algn="tl">
                  <a:srgbClr val="000000">
                    <a:shade val="5000"/>
                    <a:alpha val="35000"/>
                  </a:srgbClr>
                </a:outerShdw>
              </a:effectLst>
            </a:rPr>
            <a:t>DuPont ROI </a:t>
          </a:r>
          <a:r>
            <a:rPr lang="en-US" sz="3600" b="1" cap="none" spc="0" baseline="0">
              <a:ln w="19050">
                <a:solidFill>
                  <a:schemeClr val="tx2">
                    <a:tint val="1000"/>
                  </a:schemeClr>
                </a:solidFill>
                <a:prstDash val="solid"/>
              </a:ln>
              <a:solidFill>
                <a:schemeClr val="accent6">
                  <a:lumMod val="75000"/>
                </a:schemeClr>
              </a:solidFill>
              <a:effectLst>
                <a:outerShdw blurRad="50000" dist="50800" dir="7500000" algn="tl">
                  <a:srgbClr val="000000">
                    <a:shade val="5000"/>
                    <a:alpha val="35000"/>
                  </a:srgbClr>
                </a:outerShdw>
              </a:effectLst>
            </a:rPr>
            <a:t>Analysis </a:t>
          </a:r>
          <a:endParaRPr lang="en-US" sz="3600" b="1" cap="none" spc="0">
            <a:ln w="19050">
              <a:solidFill>
                <a:schemeClr val="tx2">
                  <a:tint val="1000"/>
                </a:schemeClr>
              </a:solidFill>
              <a:prstDash val="solid"/>
            </a:ln>
            <a:solidFill>
              <a:schemeClr val="accent6">
                <a:lumMod val="75000"/>
              </a:schemeClr>
            </a:solidFill>
            <a:effectLst>
              <a:outerShdw blurRad="50000" dist="50800" dir="7500000" algn="tl">
                <a:srgbClr val="000000">
                  <a:shade val="5000"/>
                  <a:alpha val="35000"/>
                </a:srgbClr>
              </a:outerShdw>
            </a:effectLst>
          </a:endParaRPr>
        </a:p>
      </xdr:txBody>
    </xdr:sp>
    <xdr:clientData/>
  </xdr:oneCellAnchor>
  <xdr:twoCellAnchor>
    <xdr:from>
      <xdr:col>1</xdr:col>
      <xdr:colOff>1362074</xdr:colOff>
      <xdr:row>4</xdr:row>
      <xdr:rowOff>9526</xdr:rowOff>
    </xdr:from>
    <xdr:to>
      <xdr:col>10</xdr:col>
      <xdr:colOff>2072639</xdr:colOff>
      <xdr:row>5</xdr:row>
      <xdr:rowOff>152401</xdr:rowOff>
    </xdr:to>
    <xdr:sp macro="" textlink="">
      <xdr:nvSpPr>
        <xdr:cNvPr id="4" name="TextBox 3"/>
        <xdr:cNvSpPr txBox="1"/>
      </xdr:nvSpPr>
      <xdr:spPr>
        <a:xfrm>
          <a:off x="1483994" y="923926"/>
          <a:ext cx="10586085" cy="371475"/>
        </a:xfrm>
        <a:prstGeom prst="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t"/>
        <a:lstStyle/>
        <a:p>
          <a:r>
            <a:rPr lang="en-US" sz="1400"/>
            <a:t>This workbook accepts</a:t>
          </a:r>
          <a:r>
            <a:rPr lang="en-US" sz="1400" baseline="0"/>
            <a:t> balance sheet and income statement totals for two years and automatically performs analysis calculations.</a:t>
          </a:r>
          <a:endParaRPr lang="en-US" sz="1400"/>
        </a:p>
      </xdr:txBody>
    </xdr:sp>
    <xdr:clientData/>
  </xdr:twoCellAnchor>
  <xdr:twoCellAnchor>
    <xdr:from>
      <xdr:col>4</xdr:col>
      <xdr:colOff>1076324</xdr:colOff>
      <xdr:row>6</xdr:row>
      <xdr:rowOff>38100</xdr:rowOff>
    </xdr:from>
    <xdr:to>
      <xdr:col>10</xdr:col>
      <xdr:colOff>1171575</xdr:colOff>
      <xdr:row>13</xdr:row>
      <xdr:rowOff>57150</xdr:rowOff>
    </xdr:to>
    <xdr:graphicFrame macro="">
      <xdr:nvGraphicFramePr>
        <xdr:cNvPr id="5" name="Diagram 4"/>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601980</xdr:colOff>
          <xdr:row>14</xdr:row>
          <xdr:rowOff>114300</xdr:rowOff>
        </xdr:from>
        <xdr:to>
          <xdr:col>0</xdr:col>
          <xdr:colOff>1699260</xdr:colOff>
          <xdr:row>15</xdr:row>
          <xdr:rowOff>121920</xdr:rowOff>
        </xdr:to>
        <xdr:sp macro="" textlink="">
          <xdr:nvSpPr>
            <xdr:cNvPr id="2066" name="Button 18" descr="Clear Data" hidden="1">
              <a:extLst>
                <a:ext uri="{63B3BB69-23CF-44E3-9099-C40C66FF867C}">
                  <a14:compatExt spid="_x0000_s2066"/>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1" i="0" u="none" strike="noStrike" baseline="0">
                  <a:solidFill>
                    <a:srgbClr val="000000"/>
                  </a:solidFill>
                  <a:latin typeface="Gill Sans MT"/>
                </a:rPr>
                <a:t>Clear Data</a:t>
              </a:r>
            </a:p>
          </xdr:txBody>
        </xdr:sp>
        <xdr:clientData fPrintsWithSheet="0"/>
      </xdr:twoCellAnchor>
    </mc:Choice>
    <mc:Fallback/>
  </mc:AlternateContent>
  <xdr:twoCellAnchor>
    <xdr:from>
      <xdr:col>0</xdr:col>
      <xdr:colOff>1752600</xdr:colOff>
      <xdr:row>14</xdr:row>
      <xdr:rowOff>104775</xdr:rowOff>
    </xdr:from>
    <xdr:to>
      <xdr:col>1</xdr:col>
      <xdr:colOff>38100</xdr:colOff>
      <xdr:row>15</xdr:row>
      <xdr:rowOff>9525</xdr:rowOff>
    </xdr:to>
    <xdr:cxnSp macro="">
      <xdr:nvCxnSpPr>
        <xdr:cNvPr id="3" name="Straight Arrow Connector 2"/>
        <xdr:cNvCxnSpPr/>
      </xdr:nvCxnSpPr>
      <xdr:spPr>
        <a:xfrm flipH="1">
          <a:off x="2133600" y="3333750"/>
          <a:ext cx="523875" cy="123825"/>
        </a:xfrm>
        <a:prstGeom prst="straightConnector1">
          <a:avLst/>
        </a:prstGeom>
        <a:ln w="19050">
          <a:solidFill>
            <a:schemeClr val="bg1">
              <a:lumMod val="6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523875</xdr:colOff>
      <xdr:row>5</xdr:row>
      <xdr:rowOff>266700</xdr:rowOff>
    </xdr:from>
    <xdr:to>
      <xdr:col>4</xdr:col>
      <xdr:colOff>322707</xdr:colOff>
      <xdr:row>18</xdr:row>
      <xdr:rowOff>66675</xdr:rowOff>
    </xdr:to>
    <xdr:sp macro="" textlink="">
      <xdr:nvSpPr>
        <xdr:cNvPr id="12" name="Down Arrow 11"/>
        <xdr:cNvSpPr/>
      </xdr:nvSpPr>
      <xdr:spPr>
        <a:xfrm>
          <a:off x="13563600" y="1200150"/>
          <a:ext cx="513207" cy="2771775"/>
        </a:xfrm>
        <a:prstGeom prst="downArrow">
          <a:avLst/>
        </a:prstGeom>
        <a:gradFill flip="none" rotWithShape="1">
          <a:gsLst>
            <a:gs pos="0">
              <a:schemeClr val="bg1">
                <a:alpha val="50000"/>
              </a:schemeClr>
            </a:gs>
            <a:gs pos="50000">
              <a:srgbClr val="FFFFAB">
                <a:alpha val="48000"/>
              </a:srgbClr>
            </a:gs>
            <a:gs pos="97000">
              <a:srgbClr val="FFFF00">
                <a:alpha val="48000"/>
              </a:srgbClr>
            </a:gs>
            <a:gs pos="100000">
              <a:srgbClr val="FFFF00"/>
            </a:gs>
          </a:gsLst>
          <a:lin ang="5400000" scaled="0"/>
          <a:tileRect/>
        </a:gradFill>
        <a:ln>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9524</xdr:colOff>
      <xdr:row>17</xdr:row>
      <xdr:rowOff>9524</xdr:rowOff>
    </xdr:from>
    <xdr:to>
      <xdr:col>3</xdr:col>
      <xdr:colOff>219075</xdr:colOff>
      <xdr:row>17</xdr:row>
      <xdr:rowOff>200021</xdr:rowOff>
    </xdr:to>
    <xdr:sp macro="" textlink="">
      <xdr:nvSpPr>
        <xdr:cNvPr id="13" name="Bent-Up Arrow 12"/>
        <xdr:cNvSpPr/>
      </xdr:nvSpPr>
      <xdr:spPr>
        <a:xfrm rot="10800000" flipH="1">
          <a:off x="12030074" y="3638549"/>
          <a:ext cx="1228726" cy="190497"/>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9525</xdr:colOff>
      <xdr:row>18</xdr:row>
      <xdr:rowOff>0</xdr:rowOff>
    </xdr:from>
    <xdr:to>
      <xdr:col>8</xdr:col>
      <xdr:colOff>504826</xdr:colOff>
      <xdr:row>18</xdr:row>
      <xdr:rowOff>180973</xdr:rowOff>
    </xdr:to>
    <xdr:sp macro="" textlink="">
      <xdr:nvSpPr>
        <xdr:cNvPr id="14" name="Bent-Up Arrow 13"/>
        <xdr:cNvSpPr/>
      </xdr:nvSpPr>
      <xdr:spPr>
        <a:xfrm rot="10800000" flipH="1">
          <a:off x="12030075" y="4562475"/>
          <a:ext cx="151447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0</xdr:colOff>
      <xdr:row>5</xdr:row>
      <xdr:rowOff>0</xdr:rowOff>
    </xdr:from>
    <xdr:to>
      <xdr:col>8</xdr:col>
      <xdr:colOff>495301</xdr:colOff>
      <xdr:row>5</xdr:row>
      <xdr:rowOff>180973</xdr:rowOff>
    </xdr:to>
    <xdr:sp macro="" textlink="">
      <xdr:nvSpPr>
        <xdr:cNvPr id="15" name="Bent-Up Arrow 14"/>
        <xdr:cNvSpPr/>
      </xdr:nvSpPr>
      <xdr:spPr>
        <a:xfrm rot="10800000" flipH="1">
          <a:off x="12020550" y="5895975"/>
          <a:ext cx="151447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0</xdr:colOff>
      <xdr:row>9</xdr:row>
      <xdr:rowOff>0</xdr:rowOff>
    </xdr:from>
    <xdr:to>
      <xdr:col>8</xdr:col>
      <xdr:colOff>495301</xdr:colOff>
      <xdr:row>9</xdr:row>
      <xdr:rowOff>180973</xdr:rowOff>
    </xdr:to>
    <xdr:sp macro="" textlink="">
      <xdr:nvSpPr>
        <xdr:cNvPr id="16" name="Bent-Up Arrow 15"/>
        <xdr:cNvSpPr/>
      </xdr:nvSpPr>
      <xdr:spPr>
        <a:xfrm rot="10800000" flipH="1">
          <a:off x="12020550" y="6772275"/>
          <a:ext cx="151447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0</xdr:colOff>
      <xdr:row>13</xdr:row>
      <xdr:rowOff>0</xdr:rowOff>
    </xdr:from>
    <xdr:to>
      <xdr:col>8</xdr:col>
      <xdr:colOff>495301</xdr:colOff>
      <xdr:row>13</xdr:row>
      <xdr:rowOff>180973</xdr:rowOff>
    </xdr:to>
    <xdr:sp macro="" textlink="">
      <xdr:nvSpPr>
        <xdr:cNvPr id="17" name="Bent-Up Arrow 16"/>
        <xdr:cNvSpPr/>
      </xdr:nvSpPr>
      <xdr:spPr>
        <a:xfrm rot="10800000" flipH="1">
          <a:off x="12020550" y="7648575"/>
          <a:ext cx="151447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0</xdr:colOff>
      <xdr:row>45</xdr:row>
      <xdr:rowOff>0</xdr:rowOff>
    </xdr:from>
    <xdr:to>
      <xdr:col>3</xdr:col>
      <xdr:colOff>495301</xdr:colOff>
      <xdr:row>45</xdr:row>
      <xdr:rowOff>180973</xdr:rowOff>
    </xdr:to>
    <xdr:sp macro="" textlink="">
      <xdr:nvSpPr>
        <xdr:cNvPr id="18" name="Bent-Up Arrow 17"/>
        <xdr:cNvSpPr/>
      </xdr:nvSpPr>
      <xdr:spPr>
        <a:xfrm rot="10800000" flipH="1">
          <a:off x="12020550" y="9848850"/>
          <a:ext cx="151447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0</xdr:colOff>
      <xdr:row>5</xdr:row>
      <xdr:rowOff>0</xdr:rowOff>
    </xdr:from>
    <xdr:to>
      <xdr:col>3</xdr:col>
      <xdr:colOff>209551</xdr:colOff>
      <xdr:row>5</xdr:row>
      <xdr:rowOff>190497</xdr:rowOff>
    </xdr:to>
    <xdr:sp macro="" textlink="">
      <xdr:nvSpPr>
        <xdr:cNvPr id="19" name="Bent-Up Arrow 18"/>
        <xdr:cNvSpPr/>
      </xdr:nvSpPr>
      <xdr:spPr>
        <a:xfrm rot="10800000" flipH="1">
          <a:off x="12020550" y="933450"/>
          <a:ext cx="1228726" cy="190497"/>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0</xdr:colOff>
      <xdr:row>9</xdr:row>
      <xdr:rowOff>0</xdr:rowOff>
    </xdr:from>
    <xdr:to>
      <xdr:col>3</xdr:col>
      <xdr:colOff>209551</xdr:colOff>
      <xdr:row>9</xdr:row>
      <xdr:rowOff>190497</xdr:rowOff>
    </xdr:to>
    <xdr:sp macro="" textlink="">
      <xdr:nvSpPr>
        <xdr:cNvPr id="20" name="Bent-Up Arrow 19"/>
        <xdr:cNvSpPr/>
      </xdr:nvSpPr>
      <xdr:spPr>
        <a:xfrm rot="10800000" flipH="1">
          <a:off x="12020550" y="1866900"/>
          <a:ext cx="1228726" cy="190497"/>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0</xdr:colOff>
      <xdr:row>13</xdr:row>
      <xdr:rowOff>0</xdr:rowOff>
    </xdr:from>
    <xdr:to>
      <xdr:col>3</xdr:col>
      <xdr:colOff>209551</xdr:colOff>
      <xdr:row>13</xdr:row>
      <xdr:rowOff>190497</xdr:rowOff>
    </xdr:to>
    <xdr:sp macro="" textlink="">
      <xdr:nvSpPr>
        <xdr:cNvPr id="21" name="Bent-Up Arrow 20"/>
        <xdr:cNvSpPr/>
      </xdr:nvSpPr>
      <xdr:spPr>
        <a:xfrm rot="10800000" flipH="1">
          <a:off x="12020550" y="2743200"/>
          <a:ext cx="1228726" cy="190497"/>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9526</xdr:colOff>
      <xdr:row>3</xdr:row>
      <xdr:rowOff>190500</xdr:rowOff>
    </xdr:from>
    <xdr:to>
      <xdr:col>4</xdr:col>
      <xdr:colOff>638175</xdr:colOff>
      <xdr:row>6</xdr:row>
      <xdr:rowOff>17907</xdr:rowOff>
    </xdr:to>
    <xdr:sp macro="" textlink="">
      <xdr:nvSpPr>
        <xdr:cNvPr id="2" name="Right Arrow 1"/>
        <xdr:cNvSpPr/>
      </xdr:nvSpPr>
      <xdr:spPr>
        <a:xfrm>
          <a:off x="4343401" y="628650"/>
          <a:ext cx="628649" cy="484632"/>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9525</xdr:colOff>
      <xdr:row>7</xdr:row>
      <xdr:rowOff>200025</xdr:rowOff>
    </xdr:from>
    <xdr:to>
      <xdr:col>4</xdr:col>
      <xdr:colOff>638174</xdr:colOff>
      <xdr:row>10</xdr:row>
      <xdr:rowOff>27432</xdr:rowOff>
    </xdr:to>
    <xdr:sp macro="" textlink="">
      <xdr:nvSpPr>
        <xdr:cNvPr id="5" name="Right Arrow 4"/>
        <xdr:cNvSpPr/>
      </xdr:nvSpPr>
      <xdr:spPr>
        <a:xfrm>
          <a:off x="4362450" y="1514475"/>
          <a:ext cx="628649" cy="484632"/>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xdr:colOff>
      <xdr:row>11</xdr:row>
      <xdr:rowOff>190500</xdr:rowOff>
    </xdr:from>
    <xdr:to>
      <xdr:col>4</xdr:col>
      <xdr:colOff>647699</xdr:colOff>
      <xdr:row>14</xdr:row>
      <xdr:rowOff>17907</xdr:rowOff>
    </xdr:to>
    <xdr:sp macro="" textlink="">
      <xdr:nvSpPr>
        <xdr:cNvPr id="6" name="Right Arrow 5"/>
        <xdr:cNvSpPr/>
      </xdr:nvSpPr>
      <xdr:spPr>
        <a:xfrm>
          <a:off x="4371975" y="2381250"/>
          <a:ext cx="628649" cy="484632"/>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327397</xdr:colOff>
      <xdr:row>14</xdr:row>
      <xdr:rowOff>12487</xdr:rowOff>
    </xdr:from>
    <xdr:to>
      <xdr:col>6</xdr:col>
      <xdr:colOff>812029</xdr:colOff>
      <xdr:row>17</xdr:row>
      <xdr:rowOff>152404</xdr:rowOff>
    </xdr:to>
    <xdr:sp macro="" textlink="">
      <xdr:nvSpPr>
        <xdr:cNvPr id="7" name="Right Arrow 6"/>
        <xdr:cNvSpPr/>
      </xdr:nvSpPr>
      <xdr:spPr>
        <a:xfrm rot="5400000">
          <a:off x="8610292" y="3016717"/>
          <a:ext cx="797142" cy="484632"/>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3</xdr:row>
      <xdr:rowOff>0</xdr:rowOff>
    </xdr:from>
    <xdr:to>
      <xdr:col>3</xdr:col>
      <xdr:colOff>504826</xdr:colOff>
      <xdr:row>3</xdr:row>
      <xdr:rowOff>180973</xdr:rowOff>
    </xdr:to>
    <xdr:sp macro="" textlink="">
      <xdr:nvSpPr>
        <xdr:cNvPr id="8" name="Bent-Up Arrow 7"/>
        <xdr:cNvSpPr/>
      </xdr:nvSpPr>
      <xdr:spPr>
        <a:xfrm rot="10800000" flipH="1">
          <a:off x="2543175" y="314325"/>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9525</xdr:colOff>
      <xdr:row>7</xdr:row>
      <xdr:rowOff>0</xdr:rowOff>
    </xdr:from>
    <xdr:to>
      <xdr:col>3</xdr:col>
      <xdr:colOff>504826</xdr:colOff>
      <xdr:row>7</xdr:row>
      <xdr:rowOff>180973</xdr:rowOff>
    </xdr:to>
    <xdr:sp macro="" textlink="">
      <xdr:nvSpPr>
        <xdr:cNvPr id="10" name="Bent-Up Arrow 9"/>
        <xdr:cNvSpPr/>
      </xdr:nvSpPr>
      <xdr:spPr>
        <a:xfrm rot="10800000" flipH="1">
          <a:off x="2543175" y="1190625"/>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9525</xdr:colOff>
      <xdr:row>11</xdr:row>
      <xdr:rowOff>0</xdr:rowOff>
    </xdr:from>
    <xdr:to>
      <xdr:col>3</xdr:col>
      <xdr:colOff>504826</xdr:colOff>
      <xdr:row>11</xdr:row>
      <xdr:rowOff>180973</xdr:rowOff>
    </xdr:to>
    <xdr:sp macro="" textlink="">
      <xdr:nvSpPr>
        <xdr:cNvPr id="11" name="Bent-Up Arrow 10"/>
        <xdr:cNvSpPr/>
      </xdr:nvSpPr>
      <xdr:spPr>
        <a:xfrm rot="10800000" flipH="1">
          <a:off x="2543175" y="2066925"/>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9525</xdr:colOff>
      <xdr:row>17</xdr:row>
      <xdr:rowOff>0</xdr:rowOff>
    </xdr:from>
    <xdr:to>
      <xdr:col>3</xdr:col>
      <xdr:colOff>504826</xdr:colOff>
      <xdr:row>17</xdr:row>
      <xdr:rowOff>180973</xdr:rowOff>
    </xdr:to>
    <xdr:sp macro="" textlink="">
      <xdr:nvSpPr>
        <xdr:cNvPr id="13" name="Bent-Up Arrow 12"/>
        <xdr:cNvSpPr/>
      </xdr:nvSpPr>
      <xdr:spPr>
        <a:xfrm rot="10800000" flipH="1">
          <a:off x="2543175" y="3381375"/>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9525</xdr:colOff>
      <xdr:row>3</xdr:row>
      <xdr:rowOff>0</xdr:rowOff>
    </xdr:from>
    <xdr:to>
      <xdr:col>7</xdr:col>
      <xdr:colOff>504826</xdr:colOff>
      <xdr:row>3</xdr:row>
      <xdr:rowOff>180973</xdr:rowOff>
    </xdr:to>
    <xdr:sp macro="" textlink="">
      <xdr:nvSpPr>
        <xdr:cNvPr id="14" name="Bent-Up Arrow 13"/>
        <xdr:cNvSpPr/>
      </xdr:nvSpPr>
      <xdr:spPr>
        <a:xfrm rot="10800000" flipH="1">
          <a:off x="8448675" y="314325"/>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9525</xdr:colOff>
      <xdr:row>7</xdr:row>
      <xdr:rowOff>0</xdr:rowOff>
    </xdr:from>
    <xdr:to>
      <xdr:col>7</xdr:col>
      <xdr:colOff>504826</xdr:colOff>
      <xdr:row>7</xdr:row>
      <xdr:rowOff>180973</xdr:rowOff>
    </xdr:to>
    <xdr:sp macro="" textlink="">
      <xdr:nvSpPr>
        <xdr:cNvPr id="15" name="Bent-Up Arrow 14"/>
        <xdr:cNvSpPr/>
      </xdr:nvSpPr>
      <xdr:spPr>
        <a:xfrm rot="10800000" flipH="1">
          <a:off x="8448675" y="1190625"/>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9525</xdr:colOff>
      <xdr:row>11</xdr:row>
      <xdr:rowOff>0</xdr:rowOff>
    </xdr:from>
    <xdr:to>
      <xdr:col>7</xdr:col>
      <xdr:colOff>504826</xdr:colOff>
      <xdr:row>11</xdr:row>
      <xdr:rowOff>180973</xdr:rowOff>
    </xdr:to>
    <xdr:sp macro="" textlink="">
      <xdr:nvSpPr>
        <xdr:cNvPr id="16" name="Bent-Up Arrow 15"/>
        <xdr:cNvSpPr/>
      </xdr:nvSpPr>
      <xdr:spPr>
        <a:xfrm rot="10800000" flipH="1">
          <a:off x="8448675" y="2066925"/>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1924050</xdr:colOff>
      <xdr:row>7</xdr:row>
      <xdr:rowOff>104775</xdr:rowOff>
    </xdr:from>
    <xdr:to>
      <xdr:col>5</xdr:col>
      <xdr:colOff>1543050</xdr:colOff>
      <xdr:row>9</xdr:row>
      <xdr:rowOff>104775</xdr:rowOff>
    </xdr:to>
    <xdr:cxnSp macro="">
      <xdr:nvCxnSpPr>
        <xdr:cNvPr id="4" name="Straight Arrow Connector 3"/>
        <xdr:cNvCxnSpPr/>
      </xdr:nvCxnSpPr>
      <xdr:spPr>
        <a:xfrm>
          <a:off x="2609850" y="1819275"/>
          <a:ext cx="4714875" cy="447675"/>
        </a:xfrm>
        <a:prstGeom prst="straightConnector1">
          <a:avLst/>
        </a:prstGeom>
        <a:ln w="12700">
          <a:solidFill>
            <a:schemeClr val="bg1">
              <a:lumMod val="75000"/>
            </a:schemeClr>
          </a:solidFill>
          <a:prstDash val="sysDash"/>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2533650</xdr:colOff>
      <xdr:row>3</xdr:row>
      <xdr:rowOff>142875</xdr:rowOff>
    </xdr:from>
    <xdr:to>
      <xdr:col>5</xdr:col>
      <xdr:colOff>838200</xdr:colOff>
      <xdr:row>5</xdr:row>
      <xdr:rowOff>95250</xdr:rowOff>
    </xdr:to>
    <xdr:cxnSp macro="">
      <xdr:nvCxnSpPr>
        <xdr:cNvPr id="12" name="Straight Arrow Connector 11"/>
        <xdr:cNvCxnSpPr/>
      </xdr:nvCxnSpPr>
      <xdr:spPr>
        <a:xfrm>
          <a:off x="3219450" y="971550"/>
          <a:ext cx="3400425" cy="400050"/>
        </a:xfrm>
        <a:prstGeom prst="straightConnector1">
          <a:avLst/>
        </a:prstGeom>
        <a:ln>
          <a:solidFill>
            <a:schemeClr val="bg1">
              <a:lumMod val="75000"/>
            </a:schemeClr>
          </a:solidFill>
          <a:tailEnd type="arrow"/>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xdr:col>
      <xdr:colOff>2409825</xdr:colOff>
      <xdr:row>11</xdr:row>
      <xdr:rowOff>123825</xdr:rowOff>
    </xdr:from>
    <xdr:to>
      <xdr:col>5</xdr:col>
      <xdr:colOff>1114425</xdr:colOff>
      <xdr:row>13</xdr:row>
      <xdr:rowOff>104775</xdr:rowOff>
    </xdr:to>
    <xdr:cxnSp macro="">
      <xdr:nvCxnSpPr>
        <xdr:cNvPr id="18" name="Straight Arrow Connector 17"/>
        <xdr:cNvCxnSpPr/>
      </xdr:nvCxnSpPr>
      <xdr:spPr>
        <a:xfrm>
          <a:off x="3095625" y="2724150"/>
          <a:ext cx="3800475" cy="428625"/>
        </a:xfrm>
        <a:prstGeom prst="straightConnector1">
          <a:avLst/>
        </a:prstGeom>
        <a:ln>
          <a:solidFill>
            <a:schemeClr val="bg1">
              <a:lumMod val="75000"/>
            </a:schemeClr>
          </a:solidFill>
          <a:prstDash val="sysDash"/>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0</xdr:colOff>
      <xdr:row>35</xdr:row>
      <xdr:rowOff>0</xdr:rowOff>
    </xdr:from>
    <xdr:to>
      <xdr:col>3</xdr:col>
      <xdr:colOff>495301</xdr:colOff>
      <xdr:row>35</xdr:row>
      <xdr:rowOff>180973</xdr:rowOff>
    </xdr:to>
    <xdr:sp macro="" textlink="">
      <xdr:nvSpPr>
        <xdr:cNvPr id="17" name="Bent-Up Arrow 16"/>
        <xdr:cNvSpPr/>
      </xdr:nvSpPr>
      <xdr:spPr>
        <a:xfrm rot="10800000" flipH="1">
          <a:off x="3276600" y="7534275"/>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0</xdr:colOff>
      <xdr:row>31</xdr:row>
      <xdr:rowOff>0</xdr:rowOff>
    </xdr:from>
    <xdr:to>
      <xdr:col>3</xdr:col>
      <xdr:colOff>495301</xdr:colOff>
      <xdr:row>31</xdr:row>
      <xdr:rowOff>180973</xdr:rowOff>
    </xdr:to>
    <xdr:sp macro="" textlink="">
      <xdr:nvSpPr>
        <xdr:cNvPr id="19" name="Bent-Up Arrow 18"/>
        <xdr:cNvSpPr/>
      </xdr:nvSpPr>
      <xdr:spPr>
        <a:xfrm rot="10800000" flipH="1">
          <a:off x="3276600" y="6648450"/>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0</xdr:colOff>
      <xdr:row>27</xdr:row>
      <xdr:rowOff>0</xdr:rowOff>
    </xdr:from>
    <xdr:to>
      <xdr:col>3</xdr:col>
      <xdr:colOff>495301</xdr:colOff>
      <xdr:row>27</xdr:row>
      <xdr:rowOff>180973</xdr:rowOff>
    </xdr:to>
    <xdr:sp macro="" textlink="">
      <xdr:nvSpPr>
        <xdr:cNvPr id="20" name="Bent-Up Arrow 19"/>
        <xdr:cNvSpPr/>
      </xdr:nvSpPr>
      <xdr:spPr>
        <a:xfrm rot="10800000" flipH="1">
          <a:off x="3276600" y="5762625"/>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0</xdr:colOff>
      <xdr:row>27</xdr:row>
      <xdr:rowOff>0</xdr:rowOff>
    </xdr:from>
    <xdr:to>
      <xdr:col>7</xdr:col>
      <xdr:colOff>495301</xdr:colOff>
      <xdr:row>27</xdr:row>
      <xdr:rowOff>180973</xdr:rowOff>
    </xdr:to>
    <xdr:sp macro="" textlink="">
      <xdr:nvSpPr>
        <xdr:cNvPr id="21" name="Bent-Up Arrow 20"/>
        <xdr:cNvSpPr/>
      </xdr:nvSpPr>
      <xdr:spPr>
        <a:xfrm rot="10800000" flipH="1">
          <a:off x="3000375" y="1095375"/>
          <a:ext cx="1581151"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0</xdr:colOff>
      <xdr:row>31</xdr:row>
      <xdr:rowOff>0</xdr:rowOff>
    </xdr:from>
    <xdr:to>
      <xdr:col>7</xdr:col>
      <xdr:colOff>495301</xdr:colOff>
      <xdr:row>31</xdr:row>
      <xdr:rowOff>180973</xdr:rowOff>
    </xdr:to>
    <xdr:sp macro="" textlink="">
      <xdr:nvSpPr>
        <xdr:cNvPr id="22" name="Bent-Up Arrow 21"/>
        <xdr:cNvSpPr/>
      </xdr:nvSpPr>
      <xdr:spPr>
        <a:xfrm rot="10800000" flipH="1">
          <a:off x="3000375" y="1971675"/>
          <a:ext cx="1581151"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0</xdr:colOff>
      <xdr:row>35</xdr:row>
      <xdr:rowOff>0</xdr:rowOff>
    </xdr:from>
    <xdr:to>
      <xdr:col>7</xdr:col>
      <xdr:colOff>495301</xdr:colOff>
      <xdr:row>35</xdr:row>
      <xdr:rowOff>180973</xdr:rowOff>
    </xdr:to>
    <xdr:sp macro="" textlink="">
      <xdr:nvSpPr>
        <xdr:cNvPr id="23" name="Bent-Up Arrow 22"/>
        <xdr:cNvSpPr/>
      </xdr:nvSpPr>
      <xdr:spPr>
        <a:xfrm rot="10800000" flipH="1">
          <a:off x="3000375" y="2847975"/>
          <a:ext cx="1581151"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0</xdr:colOff>
      <xdr:row>42</xdr:row>
      <xdr:rowOff>0</xdr:rowOff>
    </xdr:from>
    <xdr:to>
      <xdr:col>7</xdr:col>
      <xdr:colOff>495301</xdr:colOff>
      <xdr:row>42</xdr:row>
      <xdr:rowOff>180973</xdr:rowOff>
    </xdr:to>
    <xdr:sp macro="" textlink="">
      <xdr:nvSpPr>
        <xdr:cNvPr id="24" name="Bent-Up Arrow 23"/>
        <xdr:cNvSpPr/>
      </xdr:nvSpPr>
      <xdr:spPr>
        <a:xfrm rot="10800000" flipH="1">
          <a:off x="3133725" y="1095375"/>
          <a:ext cx="1504951"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0</xdr:colOff>
      <xdr:row>46</xdr:row>
      <xdr:rowOff>0</xdr:rowOff>
    </xdr:from>
    <xdr:to>
      <xdr:col>7</xdr:col>
      <xdr:colOff>495301</xdr:colOff>
      <xdr:row>46</xdr:row>
      <xdr:rowOff>180973</xdr:rowOff>
    </xdr:to>
    <xdr:sp macro="" textlink="">
      <xdr:nvSpPr>
        <xdr:cNvPr id="25" name="Bent-Up Arrow 24"/>
        <xdr:cNvSpPr/>
      </xdr:nvSpPr>
      <xdr:spPr>
        <a:xfrm rot="10800000" flipH="1">
          <a:off x="3133725" y="1971675"/>
          <a:ext cx="1504951"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0</xdr:colOff>
      <xdr:row>50</xdr:row>
      <xdr:rowOff>0</xdr:rowOff>
    </xdr:from>
    <xdr:to>
      <xdr:col>7</xdr:col>
      <xdr:colOff>495301</xdr:colOff>
      <xdr:row>50</xdr:row>
      <xdr:rowOff>180973</xdr:rowOff>
    </xdr:to>
    <xdr:sp macro="" textlink="">
      <xdr:nvSpPr>
        <xdr:cNvPr id="26" name="Bent-Up Arrow 25"/>
        <xdr:cNvSpPr/>
      </xdr:nvSpPr>
      <xdr:spPr>
        <a:xfrm rot="10800000" flipH="1">
          <a:off x="9182100" y="11391900"/>
          <a:ext cx="1609726" cy="180973"/>
        </a:xfrm>
        <a:prstGeom prst="bentUpArrow">
          <a:avLst>
            <a:gd name="adj1" fmla="val 25000"/>
            <a:gd name="adj2" fmla="val 25000"/>
            <a:gd name="adj3" fmla="val 50000"/>
          </a:avLst>
        </a:prstGeom>
      </xdr:spPr>
      <xdr:style>
        <a:lnRef idx="1">
          <a:schemeClr val="dk1"/>
        </a:lnRef>
        <a:fillRef idx="1002">
          <a:schemeClr val="lt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absoluteAnchor>
    <xdr:pos x="0" y="0"/>
    <xdr:ext cx="8652387" cy="627625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olstice">
  <a:themeElements>
    <a:clrScheme name="Solstice">
      <a:dk1>
        <a:sysClr val="windowText" lastClr="000000"/>
      </a:dk1>
      <a:lt1>
        <a:sysClr val="window" lastClr="FFFFFF"/>
      </a:lt1>
      <a:dk2>
        <a:srgbClr val="4F271C"/>
      </a:dk2>
      <a:lt2>
        <a:srgbClr val="E7DEC9"/>
      </a:lt2>
      <a:accent1>
        <a:srgbClr val="3891A7"/>
      </a:accent1>
      <a:accent2>
        <a:srgbClr val="FEB80A"/>
      </a:accent2>
      <a:accent3>
        <a:srgbClr val="C32D2E"/>
      </a:accent3>
      <a:accent4>
        <a:srgbClr val="84AA33"/>
      </a:accent4>
      <a:accent5>
        <a:srgbClr val="964305"/>
      </a:accent5>
      <a:accent6>
        <a:srgbClr val="475A8D"/>
      </a:accent6>
      <a:hlink>
        <a:srgbClr val="8DC765"/>
      </a:hlink>
      <a:folHlink>
        <a:srgbClr val="AA8A14"/>
      </a:folHlink>
    </a:clrScheme>
    <a:fontScheme name="Solstice">
      <a:majorFont>
        <a:latin typeface="Gill Sans MT"/>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a:ea typeface=""/>
        <a:cs typeface=""/>
        <a:font script="Grek" typeface="Corbel"/>
        <a:font script="Cyrl" typeface="Corbel"/>
        <a:font script="Jpan" typeface="HGｺﾞｼｯｸE"/>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olstice">
      <a:fillStyleLst>
        <a:solidFill>
          <a:schemeClr val="phClr"/>
        </a:solidFill>
        <a:gradFill rotWithShape="1">
          <a:gsLst>
            <a:gs pos="0">
              <a:schemeClr val="phClr">
                <a:tint val="35000"/>
                <a:satMod val="253000"/>
              </a:schemeClr>
            </a:gs>
            <a:gs pos="50000">
              <a:schemeClr val="phClr">
                <a:tint val="42000"/>
                <a:satMod val="255000"/>
              </a:schemeClr>
            </a:gs>
            <a:gs pos="97000">
              <a:schemeClr val="phClr">
                <a:tint val="53000"/>
                <a:satMod val="260000"/>
              </a:schemeClr>
            </a:gs>
            <a:gs pos="100000">
              <a:schemeClr val="phClr">
                <a:tint val="56000"/>
                <a:satMod val="275000"/>
              </a:schemeClr>
            </a:gs>
          </a:gsLst>
          <a:path path="circle">
            <a:fillToRect l="50000" t="50000" r="50000" b="50000"/>
          </a:path>
        </a:gradFill>
        <a:gradFill rotWithShape="1">
          <a:gsLst>
            <a:gs pos="0">
              <a:schemeClr val="phClr">
                <a:tint val="92000"/>
                <a:satMod val="170000"/>
              </a:schemeClr>
            </a:gs>
            <a:gs pos="15000">
              <a:schemeClr val="phClr">
                <a:tint val="92000"/>
                <a:shade val="99000"/>
                <a:satMod val="170000"/>
              </a:schemeClr>
            </a:gs>
            <a:gs pos="62000">
              <a:schemeClr val="phClr">
                <a:tint val="96000"/>
                <a:shade val="80000"/>
                <a:satMod val="170000"/>
              </a:schemeClr>
            </a:gs>
            <a:gs pos="97000">
              <a:schemeClr val="phClr">
                <a:tint val="98000"/>
                <a:shade val="63000"/>
                <a:satMod val="170000"/>
              </a:schemeClr>
            </a:gs>
            <a:gs pos="100000">
              <a:schemeClr val="phClr">
                <a:shade val="62000"/>
                <a:satMod val="170000"/>
              </a:schemeClr>
            </a:gs>
          </a:gsLst>
          <a:path path="circle">
            <a:fillToRect l="50000" t="50000" r="50000" b="50000"/>
          </a:path>
        </a:gradFill>
      </a:fillStyleLst>
      <a:lnStyleLst>
        <a:ln w="9525" cap="flat" cmpd="sng" algn="ctr">
          <a:solidFill>
            <a:schemeClr val="phClr"/>
          </a:solidFill>
          <a:prstDash val="solid"/>
        </a:ln>
        <a:ln w="25400" cap="flat" cmpd="sng" algn="ctr">
          <a:solidFill>
            <a:schemeClr val="phClr"/>
          </a:solidFill>
          <a:prstDash val="solid"/>
        </a:ln>
        <a:ln w="25400" cap="flat" cmpd="sng" algn="ctr">
          <a:solidFill>
            <a:schemeClr val="phClr"/>
          </a:solidFill>
          <a:prstDash val="solid"/>
        </a:ln>
      </a:lnStyleLst>
      <a:effectStyleLst>
        <a:effectStyle>
          <a:effectLst>
            <a:outerShdw blurRad="63500" dist="25400" dir="5400000" rotWithShape="0">
              <a:srgbClr val="000000">
                <a:alpha val="43137"/>
              </a:srgbClr>
            </a:outerShdw>
          </a:effectLst>
        </a:effectStyle>
        <a:effectStyle>
          <a:effectLst>
            <a:outerShdw blurRad="63500" dist="25400" dir="5400000" rotWithShape="0">
              <a:srgbClr val="000000">
                <a:alpha val="43137"/>
              </a:srgbClr>
            </a:outerShdw>
          </a:effectLst>
          <a:scene3d>
            <a:camera prst="orthographicFront" fov="0">
              <a:rot lat="0" lon="0" rev="0"/>
            </a:camera>
            <a:lightRig rig="brightRoom" dir="tl">
              <a:rot lat="0" lon="0" rev="8700000"/>
            </a:lightRig>
          </a:scene3d>
          <a:sp3d contourW="12700">
            <a:bevelT w="0" h="0"/>
            <a:contourClr>
              <a:schemeClr val="phClr">
                <a:shade val="80000"/>
              </a:schemeClr>
            </a:contourClr>
          </a:sp3d>
        </a:effectStyle>
        <a:effectStyle>
          <a:effectLst>
            <a:outerShdw blurRad="63500" dist="25400" dir="5400000" rotWithShape="0">
              <a:srgbClr val="000000">
                <a:alpha val="43137"/>
              </a:srgbClr>
            </a:outerShdw>
          </a:effectLst>
          <a:scene3d>
            <a:camera prst="orthographicFront" fov="0">
              <a:rot lat="0" lon="0" rev="0"/>
            </a:camera>
            <a:lightRig rig="brightRoom" dir="tl">
              <a:rot lat="0" lon="0" rev="5400000"/>
            </a:lightRig>
          </a:scene3d>
          <a:sp3d contourW="12700">
            <a:bevelT w="25400" h="50800" prst="angle"/>
            <a:contourClr>
              <a:schemeClr val="phClr"/>
            </a:contourClr>
          </a:sp3d>
        </a:effectStyle>
      </a:effectStyleLst>
      <a:bgFillStyleLst>
        <a:solidFill>
          <a:schemeClr val="phClr"/>
        </a:solidFill>
        <a:gradFill rotWithShape="1">
          <a:gsLst>
            <a:gs pos="0">
              <a:schemeClr val="phClr">
                <a:tint val="60000"/>
                <a:satMod val="355000"/>
              </a:schemeClr>
            </a:gs>
            <a:gs pos="40000">
              <a:schemeClr val="phClr">
                <a:tint val="85000"/>
                <a:satMod val="320000"/>
              </a:schemeClr>
            </a:gs>
            <a:gs pos="100000">
              <a:schemeClr val="phClr">
                <a:shade val="55000"/>
                <a:satMod val="300000"/>
              </a:schemeClr>
            </a:gs>
          </a:gsLst>
          <a:path path="circle">
            <a:fillToRect l="-24500" t="-20000" r="124500" b="120000"/>
          </a:path>
        </a:gradFill>
        <a:blipFill>
          <a:blip xmlns:r="http://schemas.openxmlformats.org/officeDocument/2006/relationships" r:embed="rId1">
            <a:duotone>
              <a:schemeClr val="phClr">
                <a:shade val="9000"/>
                <a:satMod val="300000"/>
              </a:schemeClr>
              <a:schemeClr val="phClr">
                <a:tint val="90000"/>
                <a:satMod val="225000"/>
              </a:schemeClr>
            </a:duotone>
          </a:blip>
          <a:tile tx="0" ty="0" sx="90000" sy="90000" flip="xy"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34998626667073579"/>
    <pageSetUpPr fitToPage="1"/>
  </sheetPr>
  <dimension ref="B15:L73"/>
  <sheetViews>
    <sheetView tabSelected="1" workbookViewId="0">
      <selection activeCell="B12" sqref="B12"/>
    </sheetView>
  </sheetViews>
  <sheetFormatPr defaultRowHeight="18" x14ac:dyDescent="0.5"/>
  <cols>
    <col min="1" max="1" width="1.77734375" customWidth="1"/>
    <col min="2" max="2" width="36.6640625" customWidth="1"/>
    <col min="3" max="3" width="8.6640625" style="1" customWidth="1"/>
    <col min="4" max="4" width="2.6640625" customWidth="1"/>
    <col min="5" max="5" width="36.6640625" customWidth="1"/>
    <col min="6" max="6" width="8.6640625" style="1" customWidth="1"/>
    <col min="7" max="7" width="2.6640625" customWidth="1"/>
    <col min="8" max="8" width="36.6640625" customWidth="1"/>
    <col min="9" max="9" width="8.6640625" style="1" customWidth="1"/>
    <col min="10" max="10" width="2.6640625" style="1" customWidth="1"/>
    <col min="11" max="11" width="36.6640625" customWidth="1"/>
    <col min="12" max="12" width="8.6640625" style="1" customWidth="1"/>
  </cols>
  <sheetData>
    <row r="15" spans="2:12" x14ac:dyDescent="0.5">
      <c r="B15" s="211" t="s">
        <v>100</v>
      </c>
      <c r="C15" s="211"/>
      <c r="D15" s="211"/>
      <c r="E15" s="211"/>
      <c r="F15" s="211"/>
      <c r="G15" s="211"/>
      <c r="H15" s="211"/>
      <c r="I15" s="211"/>
      <c r="J15" s="211"/>
      <c r="K15" s="211"/>
      <c r="L15" s="211"/>
    </row>
    <row r="16" spans="2:12" x14ac:dyDescent="0.5">
      <c r="B16" s="211"/>
      <c r="C16" s="211"/>
      <c r="D16" s="211"/>
      <c r="E16" s="211"/>
      <c r="F16" s="211"/>
      <c r="G16" s="211"/>
      <c r="H16" s="211"/>
      <c r="I16" s="211"/>
      <c r="J16" s="211"/>
      <c r="K16" s="211"/>
      <c r="L16" s="211"/>
    </row>
    <row r="17" spans="2:12" ht="19.2" x14ac:dyDescent="0.5">
      <c r="B17" s="17" t="s">
        <v>0</v>
      </c>
      <c r="C17" s="17" t="s">
        <v>13</v>
      </c>
      <c r="D17" s="61" t="s">
        <v>104</v>
      </c>
      <c r="E17" s="17" t="s">
        <v>10</v>
      </c>
      <c r="F17" s="17" t="s">
        <v>13</v>
      </c>
      <c r="G17" s="60" t="s">
        <v>158</v>
      </c>
      <c r="H17" s="212" t="s">
        <v>11</v>
      </c>
      <c r="I17" s="212"/>
      <c r="J17" s="212"/>
      <c r="K17" s="212"/>
      <c r="L17" s="212"/>
    </row>
    <row r="18" spans="2:12" x14ac:dyDescent="0.5">
      <c r="B18" s="5" t="s">
        <v>1</v>
      </c>
      <c r="C18" s="4">
        <v>115</v>
      </c>
      <c r="E18" s="11" t="s">
        <v>27</v>
      </c>
      <c r="F18" s="10">
        <v>208</v>
      </c>
      <c r="H18" s="12" t="s">
        <v>12</v>
      </c>
      <c r="I18" s="12" t="s">
        <v>13</v>
      </c>
      <c r="J18" s="2"/>
      <c r="K18" s="13" t="s">
        <v>7</v>
      </c>
      <c r="L18" s="13" t="s">
        <v>13</v>
      </c>
    </row>
    <row r="19" spans="2:12" x14ac:dyDescent="0.5">
      <c r="B19" s="5" t="s">
        <v>14</v>
      </c>
      <c r="C19" s="4">
        <v>134</v>
      </c>
      <c r="E19" s="11" t="s">
        <v>28</v>
      </c>
      <c r="F19" s="10">
        <v>272</v>
      </c>
      <c r="H19" s="7" t="s">
        <v>44</v>
      </c>
      <c r="I19" s="6">
        <v>400</v>
      </c>
      <c r="J19" s="3"/>
      <c r="K19" s="9" t="s">
        <v>74</v>
      </c>
      <c r="L19" s="8">
        <v>500</v>
      </c>
    </row>
    <row r="20" spans="2:12" x14ac:dyDescent="0.5">
      <c r="B20" s="5" t="s">
        <v>15</v>
      </c>
      <c r="C20" s="4">
        <v>172</v>
      </c>
      <c r="E20" s="11" t="s">
        <v>29</v>
      </c>
      <c r="F20" s="10">
        <v>266</v>
      </c>
      <c r="H20" s="7" t="s">
        <v>39</v>
      </c>
      <c r="I20" s="6">
        <v>421</v>
      </c>
      <c r="J20" s="3"/>
      <c r="K20" s="9" t="s">
        <v>75</v>
      </c>
      <c r="L20" s="8">
        <v>501</v>
      </c>
    </row>
    <row r="21" spans="2:12" x14ac:dyDescent="0.5">
      <c r="B21" s="5" t="s">
        <v>16</v>
      </c>
      <c r="C21" s="4">
        <v>101</v>
      </c>
      <c r="E21" s="11" t="s">
        <v>30</v>
      </c>
      <c r="F21" s="10">
        <v>265</v>
      </c>
      <c r="H21" s="7" t="s">
        <v>43</v>
      </c>
      <c r="I21" s="6">
        <v>450</v>
      </c>
      <c r="J21" s="3"/>
      <c r="K21" s="15" t="s">
        <v>98</v>
      </c>
      <c r="L21" s="8">
        <v>504</v>
      </c>
    </row>
    <row r="22" spans="2:12" x14ac:dyDescent="0.5">
      <c r="B22" s="5" t="s">
        <v>17</v>
      </c>
      <c r="C22" s="4">
        <v>198</v>
      </c>
      <c r="E22" s="11" t="s">
        <v>31</v>
      </c>
      <c r="F22" s="10">
        <v>234</v>
      </c>
      <c r="H22" s="7" t="s">
        <v>41</v>
      </c>
      <c r="I22" s="6">
        <v>459</v>
      </c>
      <c r="J22" s="3"/>
      <c r="K22" s="9" t="s">
        <v>64</v>
      </c>
      <c r="L22" s="8">
        <v>525</v>
      </c>
    </row>
    <row r="23" spans="2:12" x14ac:dyDescent="0.5">
      <c r="B23" s="5" t="s">
        <v>21</v>
      </c>
      <c r="C23" s="4">
        <v>146</v>
      </c>
      <c r="E23" s="11" t="s">
        <v>32</v>
      </c>
      <c r="F23" s="10">
        <v>232</v>
      </c>
      <c r="H23" s="7" t="s">
        <v>42</v>
      </c>
      <c r="I23" s="6">
        <v>460</v>
      </c>
      <c r="J23" s="3"/>
      <c r="K23" s="9" t="s">
        <v>79</v>
      </c>
      <c r="L23" s="8">
        <v>526</v>
      </c>
    </row>
    <row r="24" spans="2:12" x14ac:dyDescent="0.5">
      <c r="B24" s="5" t="s">
        <v>2</v>
      </c>
      <c r="C24" s="4">
        <v>120</v>
      </c>
      <c r="E24" s="11" t="s">
        <v>33</v>
      </c>
      <c r="F24" s="10">
        <v>231</v>
      </c>
      <c r="H24" s="7" t="s">
        <v>45</v>
      </c>
      <c r="I24" s="6">
        <v>465</v>
      </c>
      <c r="J24" s="3"/>
      <c r="K24" s="9" t="s">
        <v>80</v>
      </c>
      <c r="L24" s="8">
        <v>600</v>
      </c>
    </row>
    <row r="25" spans="2:12" x14ac:dyDescent="0.5">
      <c r="B25" s="5" t="s">
        <v>18</v>
      </c>
      <c r="C25" s="4">
        <v>160</v>
      </c>
      <c r="E25" s="11" t="s">
        <v>34</v>
      </c>
      <c r="F25" s="10">
        <v>276</v>
      </c>
      <c r="H25" s="7" t="s">
        <v>40</v>
      </c>
      <c r="I25" s="6">
        <v>466</v>
      </c>
      <c r="J25" s="3"/>
      <c r="K25" s="9" t="s">
        <v>93</v>
      </c>
      <c r="L25" s="8">
        <v>606</v>
      </c>
    </row>
    <row r="26" spans="2:12" x14ac:dyDescent="0.5">
      <c r="B26" s="5" t="s">
        <v>19</v>
      </c>
      <c r="C26" s="4">
        <v>138</v>
      </c>
      <c r="E26" s="11" t="s">
        <v>35</v>
      </c>
      <c r="F26" s="10">
        <v>201</v>
      </c>
      <c r="H26" s="7"/>
      <c r="I26" s="6"/>
      <c r="J26" s="3"/>
      <c r="K26" s="9" t="s">
        <v>94</v>
      </c>
      <c r="L26" s="8">
        <v>607</v>
      </c>
    </row>
    <row r="27" spans="2:12" x14ac:dyDescent="0.5">
      <c r="B27" s="5" t="s">
        <v>20</v>
      </c>
      <c r="C27" s="4">
        <v>132</v>
      </c>
      <c r="E27" s="11" t="s">
        <v>36</v>
      </c>
      <c r="F27" s="10">
        <v>236</v>
      </c>
      <c r="H27" s="7"/>
      <c r="I27" s="6"/>
      <c r="J27" s="3"/>
      <c r="K27" s="9" t="s">
        <v>81</v>
      </c>
      <c r="L27" s="8">
        <v>608</v>
      </c>
    </row>
    <row r="28" spans="2:12" x14ac:dyDescent="0.5">
      <c r="B28" s="5" t="s">
        <v>22</v>
      </c>
      <c r="C28" s="4">
        <v>180</v>
      </c>
      <c r="E28" s="11" t="s">
        <v>37</v>
      </c>
      <c r="F28" s="10">
        <v>230</v>
      </c>
      <c r="H28" s="7"/>
      <c r="I28" s="6"/>
      <c r="J28" s="3"/>
      <c r="K28" s="9" t="s">
        <v>61</v>
      </c>
      <c r="L28" s="8">
        <v>610</v>
      </c>
    </row>
    <row r="29" spans="2:12" x14ac:dyDescent="0.5">
      <c r="B29" s="5" t="s">
        <v>23</v>
      </c>
      <c r="C29" s="4">
        <v>110</v>
      </c>
      <c r="E29" s="11" t="s">
        <v>38</v>
      </c>
      <c r="F29" s="10">
        <v>233</v>
      </c>
      <c r="H29" s="7"/>
      <c r="I29" s="6"/>
      <c r="J29" s="3"/>
      <c r="K29" s="9" t="s">
        <v>95</v>
      </c>
      <c r="L29" s="8">
        <v>612</v>
      </c>
    </row>
    <row r="30" spans="2:12" x14ac:dyDescent="0.5">
      <c r="B30" s="5" t="s">
        <v>24</v>
      </c>
      <c r="C30" s="4">
        <v>119</v>
      </c>
      <c r="E30" s="11"/>
      <c r="F30" s="10"/>
      <c r="H30" s="7"/>
      <c r="I30" s="6"/>
      <c r="J30" s="3"/>
      <c r="K30" s="9" t="s">
        <v>60</v>
      </c>
      <c r="L30" s="8">
        <v>614</v>
      </c>
    </row>
    <row r="31" spans="2:12" x14ac:dyDescent="0.5">
      <c r="B31" s="5" t="s">
        <v>25</v>
      </c>
      <c r="C31" s="4">
        <v>111</v>
      </c>
      <c r="E31" s="11"/>
      <c r="F31" s="10"/>
      <c r="H31" s="7"/>
      <c r="I31" s="6"/>
      <c r="J31" s="3"/>
      <c r="K31" s="15" t="s">
        <v>83</v>
      </c>
      <c r="L31" s="8">
        <v>616</v>
      </c>
    </row>
    <row r="32" spans="2:12" x14ac:dyDescent="0.5">
      <c r="B32" s="5" t="s">
        <v>26</v>
      </c>
      <c r="C32" s="4">
        <v>106</v>
      </c>
      <c r="E32" s="11"/>
      <c r="F32" s="10"/>
      <c r="H32" s="7"/>
      <c r="I32" s="6"/>
      <c r="J32" s="3"/>
      <c r="K32" s="9" t="s">
        <v>87</v>
      </c>
      <c r="L32" s="8">
        <v>618</v>
      </c>
    </row>
    <row r="33" spans="8:12" x14ac:dyDescent="0.5">
      <c r="I33"/>
      <c r="J33" s="3"/>
      <c r="K33" s="9" t="s">
        <v>86</v>
      </c>
      <c r="L33" s="8">
        <v>619</v>
      </c>
    </row>
    <row r="34" spans="8:12" x14ac:dyDescent="0.5">
      <c r="H34" s="20" t="s">
        <v>102</v>
      </c>
      <c r="I34" s="20" t="s">
        <v>13</v>
      </c>
      <c r="K34" s="9" t="s">
        <v>90</v>
      </c>
      <c r="L34" s="8">
        <v>622</v>
      </c>
    </row>
    <row r="35" spans="8:12" x14ac:dyDescent="0.5">
      <c r="H35" s="18" t="s">
        <v>101</v>
      </c>
      <c r="I35" s="19">
        <v>320</v>
      </c>
      <c r="K35" s="9" t="s">
        <v>59</v>
      </c>
      <c r="L35" s="8">
        <v>628</v>
      </c>
    </row>
    <row r="36" spans="8:12" x14ac:dyDescent="0.5">
      <c r="H36" s="21" t="s">
        <v>103</v>
      </c>
      <c r="I36" s="19">
        <v>325</v>
      </c>
      <c r="K36" s="15" t="s">
        <v>69</v>
      </c>
      <c r="L36" s="8">
        <v>630</v>
      </c>
    </row>
    <row r="37" spans="8:12" x14ac:dyDescent="0.5">
      <c r="H37" s="18"/>
      <c r="I37" s="19"/>
      <c r="K37" s="9" t="s">
        <v>68</v>
      </c>
      <c r="L37" s="8">
        <v>631</v>
      </c>
    </row>
    <row r="38" spans="8:12" x14ac:dyDescent="0.5">
      <c r="H38" s="18"/>
      <c r="I38" s="19"/>
      <c r="K38" s="9" t="s">
        <v>91</v>
      </c>
      <c r="L38" s="8">
        <v>632</v>
      </c>
    </row>
    <row r="39" spans="8:12" x14ac:dyDescent="0.5">
      <c r="K39" s="9" t="s">
        <v>85</v>
      </c>
      <c r="L39" s="8">
        <v>638</v>
      </c>
    </row>
    <row r="40" spans="8:12" x14ac:dyDescent="0.5">
      <c r="K40" s="9" t="s">
        <v>55</v>
      </c>
      <c r="L40" s="8">
        <v>639</v>
      </c>
    </row>
    <row r="41" spans="8:12" x14ac:dyDescent="0.5">
      <c r="K41" s="9" t="s">
        <v>53</v>
      </c>
      <c r="L41" s="8">
        <v>640</v>
      </c>
    </row>
    <row r="42" spans="8:12" x14ac:dyDescent="0.5">
      <c r="K42" s="9" t="s">
        <v>92</v>
      </c>
      <c r="L42" s="8">
        <v>645</v>
      </c>
    </row>
    <row r="43" spans="8:12" x14ac:dyDescent="0.5">
      <c r="K43" s="15" t="s">
        <v>97</v>
      </c>
      <c r="L43" s="8">
        <v>702</v>
      </c>
    </row>
    <row r="44" spans="8:12" x14ac:dyDescent="0.5">
      <c r="K44" s="9" t="s">
        <v>73</v>
      </c>
      <c r="L44" s="8">
        <v>710</v>
      </c>
    </row>
    <row r="45" spans="8:12" x14ac:dyDescent="0.5">
      <c r="K45" s="9" t="s">
        <v>78</v>
      </c>
      <c r="L45" s="8">
        <v>712</v>
      </c>
    </row>
    <row r="46" spans="8:12" x14ac:dyDescent="0.5">
      <c r="K46" s="9" t="s">
        <v>89</v>
      </c>
      <c r="L46" s="8">
        <v>714</v>
      </c>
    </row>
    <row r="47" spans="8:12" x14ac:dyDescent="0.5">
      <c r="K47" s="9" t="s">
        <v>48</v>
      </c>
      <c r="L47" s="8">
        <v>716</v>
      </c>
    </row>
    <row r="48" spans="8:12" x14ac:dyDescent="0.5">
      <c r="K48" s="9" t="s">
        <v>52</v>
      </c>
      <c r="L48" s="8">
        <v>717</v>
      </c>
    </row>
    <row r="49" spans="11:12" x14ac:dyDescent="0.5">
      <c r="K49" s="9" t="s">
        <v>65</v>
      </c>
      <c r="L49" s="8">
        <v>718</v>
      </c>
    </row>
    <row r="50" spans="11:12" x14ac:dyDescent="0.5">
      <c r="K50" s="9" t="s">
        <v>76</v>
      </c>
      <c r="L50" s="8">
        <v>719</v>
      </c>
    </row>
    <row r="51" spans="11:12" x14ac:dyDescent="0.5">
      <c r="K51" s="14" t="s">
        <v>46</v>
      </c>
      <c r="L51" s="16">
        <v>720</v>
      </c>
    </row>
    <row r="52" spans="11:12" x14ac:dyDescent="0.5">
      <c r="K52" s="9" t="s">
        <v>66</v>
      </c>
      <c r="L52" s="8">
        <v>722</v>
      </c>
    </row>
    <row r="53" spans="11:12" x14ac:dyDescent="0.5">
      <c r="K53" s="9" t="s">
        <v>67</v>
      </c>
      <c r="L53" s="8">
        <v>724</v>
      </c>
    </row>
    <row r="54" spans="11:12" x14ac:dyDescent="0.5">
      <c r="K54" s="9" t="s">
        <v>47</v>
      </c>
      <c r="L54" s="8">
        <v>726</v>
      </c>
    </row>
    <row r="55" spans="11:12" x14ac:dyDescent="0.5">
      <c r="K55" s="9" t="s">
        <v>57</v>
      </c>
      <c r="L55" s="8">
        <v>728</v>
      </c>
    </row>
    <row r="56" spans="11:12" x14ac:dyDescent="0.5">
      <c r="K56" s="9" t="s">
        <v>82</v>
      </c>
      <c r="L56" s="8">
        <v>729</v>
      </c>
    </row>
    <row r="57" spans="11:12" x14ac:dyDescent="0.5">
      <c r="K57" s="9" t="s">
        <v>56</v>
      </c>
      <c r="L57" s="8">
        <v>730</v>
      </c>
    </row>
    <row r="58" spans="11:12" x14ac:dyDescent="0.5">
      <c r="K58" s="9" t="s">
        <v>49</v>
      </c>
      <c r="L58" s="8">
        <v>731</v>
      </c>
    </row>
    <row r="59" spans="11:12" x14ac:dyDescent="0.5">
      <c r="K59" s="9" t="s">
        <v>50</v>
      </c>
      <c r="L59" s="8">
        <v>735</v>
      </c>
    </row>
    <row r="60" spans="11:12" x14ac:dyDescent="0.5">
      <c r="K60" s="9" t="s">
        <v>58</v>
      </c>
      <c r="L60" s="8">
        <v>742</v>
      </c>
    </row>
    <row r="61" spans="11:12" x14ac:dyDescent="0.5">
      <c r="K61" s="9" t="s">
        <v>84</v>
      </c>
      <c r="L61" s="8">
        <v>744</v>
      </c>
    </row>
    <row r="62" spans="11:12" x14ac:dyDescent="0.5">
      <c r="K62" s="9" t="s">
        <v>62</v>
      </c>
      <c r="L62" s="8">
        <v>746</v>
      </c>
    </row>
    <row r="63" spans="11:12" x14ac:dyDescent="0.5">
      <c r="K63" s="9" t="s">
        <v>96</v>
      </c>
      <c r="L63" s="8">
        <v>748</v>
      </c>
    </row>
    <row r="64" spans="11:12" x14ac:dyDescent="0.5">
      <c r="K64" s="9" t="s">
        <v>77</v>
      </c>
      <c r="L64" s="8">
        <v>752</v>
      </c>
    </row>
    <row r="65" spans="11:12" x14ac:dyDescent="0.5">
      <c r="K65" s="9" t="s">
        <v>63</v>
      </c>
      <c r="L65" s="8">
        <v>753</v>
      </c>
    </row>
    <row r="66" spans="11:12" x14ac:dyDescent="0.5">
      <c r="K66" s="15" t="s">
        <v>99</v>
      </c>
      <c r="L66" s="8">
        <v>754</v>
      </c>
    </row>
    <row r="67" spans="11:12" x14ac:dyDescent="0.5">
      <c r="K67" s="9" t="s">
        <v>54</v>
      </c>
      <c r="L67" s="8">
        <v>755</v>
      </c>
    </row>
    <row r="68" spans="11:12" x14ac:dyDescent="0.5">
      <c r="K68" s="9" t="s">
        <v>88</v>
      </c>
      <c r="L68" s="8">
        <v>758</v>
      </c>
    </row>
    <row r="69" spans="11:12" x14ac:dyDescent="0.5">
      <c r="K69" s="9" t="s">
        <v>51</v>
      </c>
      <c r="L69" s="8">
        <v>760</v>
      </c>
    </row>
    <row r="70" spans="11:12" x14ac:dyDescent="0.5">
      <c r="K70" s="9" t="s">
        <v>8</v>
      </c>
      <c r="L70" s="8">
        <v>770</v>
      </c>
    </row>
    <row r="71" spans="11:12" x14ac:dyDescent="0.5">
      <c r="K71" s="9" t="s">
        <v>70</v>
      </c>
      <c r="L71" s="8">
        <v>773</v>
      </c>
    </row>
    <row r="72" spans="11:12" x14ac:dyDescent="0.5">
      <c r="K72" s="9" t="s">
        <v>71</v>
      </c>
      <c r="L72" s="8">
        <v>775</v>
      </c>
    </row>
    <row r="73" spans="11:12" x14ac:dyDescent="0.5">
      <c r="K73" s="9" t="s">
        <v>72</v>
      </c>
      <c r="L73" s="8">
        <v>777</v>
      </c>
    </row>
  </sheetData>
  <autoFilter ref="K18:L73">
    <sortState ref="K19:L73">
      <sortCondition ref="L19:L74"/>
    </sortState>
  </autoFilter>
  <sortState ref="B18:C32">
    <sortCondition ref="B18:B32"/>
    <sortCondition ref="C18:C32"/>
  </sortState>
  <mergeCells count="2">
    <mergeCell ref="B15:L16"/>
    <mergeCell ref="H17:L17"/>
  </mergeCells>
  <pageMargins left="0.25" right="0.25" top="0.75" bottom="0.75" header="0.3" footer="0.3"/>
  <pageSetup scale="55"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1"/>
    <pageSetUpPr fitToPage="1"/>
  </sheetPr>
  <dimension ref="A1:AL48"/>
  <sheetViews>
    <sheetView topLeftCell="D1" zoomScale="90" zoomScaleNormal="90" workbookViewId="0">
      <selection activeCell="C8" sqref="C8"/>
    </sheetView>
  </sheetViews>
  <sheetFormatPr defaultColWidth="9" defaultRowHeight="18" x14ac:dyDescent="0.5"/>
  <cols>
    <col min="1" max="1" width="29.33203125" style="109" customWidth="1"/>
    <col min="2" max="3" width="14.6640625" style="145" customWidth="1"/>
    <col min="4" max="5" width="14.6640625" style="109" customWidth="1"/>
    <col min="6" max="6" width="15" style="109" customWidth="1"/>
    <col min="7" max="7" width="14.6640625" style="109" customWidth="1"/>
    <col min="8" max="8" width="4.44140625" style="109" customWidth="1"/>
    <col min="9" max="9" width="64.109375" style="109" customWidth="1"/>
    <col min="10" max="11" width="15.6640625" style="109" customWidth="1"/>
    <col min="12" max="12" width="5.109375" style="109" customWidth="1"/>
    <col min="13" max="16384" width="9" style="109"/>
  </cols>
  <sheetData>
    <row r="1" spans="1:12" x14ac:dyDescent="0.5">
      <c r="A1" s="107"/>
      <c r="B1" s="107"/>
      <c r="C1" s="108"/>
      <c r="E1" s="110"/>
    </row>
    <row r="2" spans="1:12" x14ac:dyDescent="0.5">
      <c r="A2" s="111"/>
      <c r="B2" s="111"/>
      <c r="C2" s="111"/>
      <c r="D2" s="112"/>
      <c r="E2" s="112"/>
      <c r="F2" s="112"/>
      <c r="G2" s="112"/>
      <c r="H2" s="112"/>
      <c r="I2" s="112"/>
      <c r="J2" s="112"/>
      <c r="K2" s="112"/>
      <c r="L2" s="112"/>
    </row>
    <row r="3" spans="1:12" ht="21.6" x14ac:dyDescent="0.55000000000000004">
      <c r="A3" s="220" t="s">
        <v>171</v>
      </c>
      <c r="B3" s="220"/>
      <c r="C3" s="220"/>
      <c r="D3" s="220"/>
      <c r="E3" s="220"/>
      <c r="F3" s="220"/>
      <c r="G3" s="220"/>
      <c r="H3" s="112"/>
      <c r="I3" s="234" t="s">
        <v>200</v>
      </c>
      <c r="J3" s="234"/>
      <c r="K3" s="234"/>
      <c r="L3" s="112"/>
    </row>
    <row r="4" spans="1:12" ht="17.25" customHeight="1" x14ac:dyDescent="0.5">
      <c r="A4" s="113"/>
      <c r="B4" s="114" t="s">
        <v>191</v>
      </c>
      <c r="C4" s="222" t="s">
        <v>156</v>
      </c>
      <c r="D4" s="115" t="s">
        <v>118</v>
      </c>
      <c r="E4" s="227" t="s">
        <v>156</v>
      </c>
      <c r="F4" s="229" t="s">
        <v>173</v>
      </c>
      <c r="G4" s="218" t="s">
        <v>172</v>
      </c>
      <c r="H4" s="112"/>
      <c r="I4" s="116" t="s">
        <v>199</v>
      </c>
      <c r="J4" s="117">
        <f>B5</f>
        <v>2011</v>
      </c>
      <c r="K4" s="117">
        <f>D5</f>
        <v>2010</v>
      </c>
      <c r="L4" s="112"/>
    </row>
    <row r="5" spans="1:12" ht="21.6" x14ac:dyDescent="0.55000000000000004">
      <c r="A5" s="118" t="s">
        <v>6</v>
      </c>
      <c r="B5" s="119">
        <v>2011</v>
      </c>
      <c r="C5" s="226"/>
      <c r="D5" s="120">
        <v>2010</v>
      </c>
      <c r="E5" s="228"/>
      <c r="F5" s="230"/>
      <c r="G5" s="221"/>
      <c r="H5" s="112"/>
      <c r="I5" s="121" t="s">
        <v>110</v>
      </c>
      <c r="J5" s="122">
        <f>Net_Income</f>
        <v>-36927</v>
      </c>
      <c r="K5" s="122">
        <f>Last_Year_Net_Income</f>
        <v>-23514</v>
      </c>
      <c r="L5" s="112"/>
    </row>
    <row r="6" spans="1:12" x14ac:dyDescent="0.5">
      <c r="A6" s="123" t="s">
        <v>105</v>
      </c>
      <c r="B6" s="124">
        <v>65030</v>
      </c>
      <c r="C6" s="125"/>
      <c r="D6" s="126">
        <v>61587</v>
      </c>
      <c r="E6" s="127"/>
      <c r="F6" s="128"/>
      <c r="G6" s="129">
        <f>Net_Sales-Last_Year_Net_Sales</f>
        <v>3443</v>
      </c>
      <c r="H6" s="112"/>
      <c r="I6" s="235" t="s">
        <v>201</v>
      </c>
      <c r="J6" s="233"/>
      <c r="K6" s="233"/>
      <c r="L6" s="112"/>
    </row>
    <row r="7" spans="1:12" x14ac:dyDescent="0.5">
      <c r="A7" s="123" t="s">
        <v>4</v>
      </c>
      <c r="B7" s="124">
        <v>20360</v>
      </c>
      <c r="C7" s="130">
        <f>Cost_of_Goods_Sold/Net_Sales</f>
        <v>0.31308626787636473</v>
      </c>
      <c r="D7" s="126">
        <v>18792</v>
      </c>
      <c r="E7" s="131">
        <f>Last_Year_Cost_of_Goods_Sold/Last_Year_Net_Sales</f>
        <v>0.30512932924156072</v>
      </c>
      <c r="F7" s="132">
        <f t="shared" ref="F7:F14" si="0">C7-E7</f>
        <v>7.9569386348040116E-3</v>
      </c>
      <c r="G7" s="129">
        <f>Cost_of_Goods_Sold-Last_Year_Cost_of_Goods_Sold</f>
        <v>1568</v>
      </c>
      <c r="H7" s="112"/>
      <c r="I7" s="235"/>
      <c r="J7" s="233"/>
      <c r="K7" s="233"/>
      <c r="L7" s="112"/>
    </row>
    <row r="8" spans="1:12" x14ac:dyDescent="0.5">
      <c r="A8" s="123" t="s">
        <v>106</v>
      </c>
      <c r="B8" s="133">
        <f>SUM(B6-B7)</f>
        <v>44670</v>
      </c>
      <c r="C8" s="130">
        <f>Gross_Profit/Net_Sales</f>
        <v>0.68691373212363527</v>
      </c>
      <c r="D8" s="134">
        <f>SUM(D6-D7)</f>
        <v>42795</v>
      </c>
      <c r="E8" s="131">
        <f>Last_Year_Gross_Profit/Last_Year_Net_Sales</f>
        <v>0.69487067075843933</v>
      </c>
      <c r="F8" s="132">
        <f t="shared" si="0"/>
        <v>-7.9569386348040672E-3</v>
      </c>
      <c r="G8" s="129">
        <f>Gross_Profit-Last_Year_Gross_Profit</f>
        <v>1875</v>
      </c>
      <c r="H8" s="112"/>
      <c r="I8" s="135" t="s">
        <v>202</v>
      </c>
      <c r="J8" s="136">
        <v>48506</v>
      </c>
      <c r="K8" s="136">
        <v>45011</v>
      </c>
      <c r="L8" s="112"/>
    </row>
    <row r="9" spans="1:12" x14ac:dyDescent="0.5">
      <c r="A9" s="123" t="s">
        <v>112</v>
      </c>
      <c r="B9" s="137">
        <v>32309</v>
      </c>
      <c r="C9" s="130">
        <f>Operating_Expenses/Net_Sales</f>
        <v>0.49683223127787174</v>
      </c>
      <c r="D9" s="138">
        <v>25848</v>
      </c>
      <c r="E9" s="131">
        <f>Last_Year_Operating_Expenses/Last_Year_Net_Sales</f>
        <v>0.41969896244337279</v>
      </c>
      <c r="F9" s="132">
        <f t="shared" si="0"/>
        <v>7.7133268834498947E-2</v>
      </c>
      <c r="G9" s="129">
        <f>Operating_Expenses-Last_Year_Operating_Expenses</f>
        <v>6461</v>
      </c>
      <c r="H9" s="112"/>
      <c r="I9" s="135" t="s">
        <v>203</v>
      </c>
      <c r="J9" s="136">
        <v>-5682</v>
      </c>
      <c r="K9" s="136">
        <v>-2599</v>
      </c>
      <c r="L9" s="112"/>
    </row>
    <row r="10" spans="1:12" x14ac:dyDescent="0.5">
      <c r="A10" s="123" t="s">
        <v>107</v>
      </c>
      <c r="B10" s="133">
        <f>SUM(B8-B9)</f>
        <v>12361</v>
      </c>
      <c r="C10" s="130">
        <f>Operating_Income/Net_Sales</f>
        <v>0.1900815008457635</v>
      </c>
      <c r="D10" s="134">
        <f>SUM(D8-D9)</f>
        <v>16947</v>
      </c>
      <c r="E10" s="131">
        <f>Last_Year_Operating_Income/Last_Year_Net_Sales</f>
        <v>0.27517170831506649</v>
      </c>
      <c r="F10" s="132">
        <f t="shared" si="0"/>
        <v>-8.5090207469302986E-2</v>
      </c>
      <c r="G10" s="129">
        <f>Operating_Income-Last_Year_Operating_Income</f>
        <v>-4586</v>
      </c>
      <c r="H10" s="112"/>
      <c r="I10" s="135" t="s">
        <v>204</v>
      </c>
      <c r="J10" s="136">
        <v>-118</v>
      </c>
      <c r="K10" s="136">
        <v>-85</v>
      </c>
      <c r="L10" s="112"/>
    </row>
    <row r="11" spans="1:12" x14ac:dyDescent="0.5">
      <c r="A11" s="123" t="s">
        <v>5</v>
      </c>
      <c r="B11" s="124">
        <v>571</v>
      </c>
      <c r="C11" s="130">
        <f>(Interest_Expense*-1)/Net_Sales</f>
        <v>-8.7805628171613095E-3</v>
      </c>
      <c r="D11" s="126">
        <v>455</v>
      </c>
      <c r="E11" s="131">
        <f>(Last_Year_Interest_Expense*-1)/Last_Year_Net_Sales</f>
        <v>-7.3879227759105007E-3</v>
      </c>
      <c r="F11" s="132">
        <f t="shared" si="0"/>
        <v>-1.3926400412508089E-3</v>
      </c>
      <c r="G11" s="129">
        <f>(Interest_Expense-Last_Year_Interest_Expense)*-1</f>
        <v>-116</v>
      </c>
      <c r="H11" s="112"/>
      <c r="I11" s="135" t="s">
        <v>205</v>
      </c>
      <c r="J11" s="136">
        <v>-2006</v>
      </c>
      <c r="K11" s="136">
        <v>2940</v>
      </c>
      <c r="L11" s="112"/>
    </row>
    <row r="12" spans="1:12" x14ac:dyDescent="0.5">
      <c r="A12" s="123" t="s">
        <v>108</v>
      </c>
      <c r="B12" s="124">
        <v>7309</v>
      </c>
      <c r="C12" s="130">
        <f>Other_Income__Expense/Net_Sales</f>
        <v>0.11239427956327849</v>
      </c>
      <c r="D12" s="126">
        <v>7115</v>
      </c>
      <c r="E12" s="131">
        <f>Last_Year_Other_Income__Expense/Last_Year_Net_Sales</f>
        <v>0.11552762758374333</v>
      </c>
      <c r="F12" s="132">
        <f t="shared" si="0"/>
        <v>-3.1333480204648323E-3</v>
      </c>
      <c r="G12" s="129">
        <f>Other_Income__Expense-Last_Year_Other_Income__Expense</f>
        <v>194</v>
      </c>
      <c r="H12" s="112"/>
      <c r="I12" s="139" t="s">
        <v>206</v>
      </c>
      <c r="J12" s="140">
        <v>8533</v>
      </c>
      <c r="K12" s="136">
        <v>6442</v>
      </c>
      <c r="L12" s="112"/>
    </row>
    <row r="13" spans="1:12" x14ac:dyDescent="0.5">
      <c r="A13" s="123" t="s">
        <v>109</v>
      </c>
      <c r="B13" s="124">
        <v>57168</v>
      </c>
      <c r="C13" s="130">
        <f>Provision_for_taxes/Net_Sales</f>
        <v>0.87910195294479476</v>
      </c>
      <c r="D13" s="126">
        <v>48031</v>
      </c>
      <c r="E13" s="131">
        <f>Last_Year_Provision_for_taxes/Last_Year_Net_Sales</f>
        <v>0.77988861285660938</v>
      </c>
      <c r="F13" s="132">
        <f t="shared" si="0"/>
        <v>9.9213340088185387E-2</v>
      </c>
      <c r="G13" s="129">
        <f>Provision_for_taxes-Last_Year_Provision_for_taxes</f>
        <v>9137</v>
      </c>
      <c r="H13" s="112"/>
      <c r="I13" s="141" t="s">
        <v>207</v>
      </c>
      <c r="J13" s="136"/>
      <c r="K13" s="136"/>
      <c r="L13" s="112"/>
    </row>
    <row r="14" spans="1:12" s="145" customFormat="1" x14ac:dyDescent="0.5">
      <c r="A14" s="142" t="s">
        <v>110</v>
      </c>
      <c r="B14" s="133">
        <f>SUM(B10+B11+B12-B13)</f>
        <v>-36927</v>
      </c>
      <c r="C14" s="130">
        <f>Net_Income/Net_Sales</f>
        <v>-0.56784560971859144</v>
      </c>
      <c r="D14" s="143">
        <f>SUM(D10+D11+D12-D13)</f>
        <v>-23514</v>
      </c>
      <c r="E14" s="131">
        <f>Last_Year_Net_Income/Last_Year_Net_Sales</f>
        <v>-0.38180135418188904</v>
      </c>
      <c r="F14" s="132">
        <f t="shared" si="0"/>
        <v>-0.1860442555367024</v>
      </c>
      <c r="G14" s="129">
        <f>Net_Income-Last_Year_Net_Income</f>
        <v>-13413</v>
      </c>
      <c r="H14" s="112"/>
      <c r="I14" s="135" t="s">
        <v>208</v>
      </c>
      <c r="J14" s="136">
        <v>-2908</v>
      </c>
      <c r="K14" s="144">
        <v>-80</v>
      </c>
      <c r="L14" s="112"/>
    </row>
    <row r="15" spans="1:12" x14ac:dyDescent="0.5">
      <c r="A15" s="146"/>
      <c r="B15" s="231" t="s">
        <v>190</v>
      </c>
      <c r="C15" s="231"/>
      <c r="D15" s="231"/>
      <c r="E15" s="231"/>
      <c r="F15" s="231"/>
      <c r="G15" s="231"/>
      <c r="H15" s="112"/>
      <c r="I15" s="147" t="s">
        <v>209</v>
      </c>
      <c r="J15" s="144">
        <v>-25667</v>
      </c>
      <c r="K15" s="136">
        <v>-9920</v>
      </c>
      <c r="L15" s="112"/>
    </row>
    <row r="16" spans="1:12" ht="18" customHeight="1" x14ac:dyDescent="0.5">
      <c r="A16" s="148"/>
      <c r="B16" s="149" t="s">
        <v>111</v>
      </c>
      <c r="C16" s="222" t="s">
        <v>157</v>
      </c>
      <c r="D16" s="150" t="s">
        <v>118</v>
      </c>
      <c r="E16" s="224" t="s">
        <v>157</v>
      </c>
      <c r="F16" s="216" t="s">
        <v>173</v>
      </c>
      <c r="G16" s="218" t="s">
        <v>172</v>
      </c>
      <c r="H16" s="112"/>
      <c r="I16" s="147" t="s">
        <v>210</v>
      </c>
      <c r="J16" s="136">
        <v>-7144</v>
      </c>
      <c r="K16" s="136">
        <v>3056</v>
      </c>
      <c r="L16" s="112"/>
    </row>
    <row r="17" spans="1:38" ht="21.75" customHeight="1" x14ac:dyDescent="0.55000000000000004">
      <c r="A17" s="151" t="s">
        <v>9</v>
      </c>
      <c r="B17" s="152">
        <f>B5</f>
        <v>2011</v>
      </c>
      <c r="C17" s="223"/>
      <c r="D17" s="153">
        <f>D5</f>
        <v>2010</v>
      </c>
      <c r="E17" s="225"/>
      <c r="F17" s="217"/>
      <c r="G17" s="219"/>
      <c r="H17" s="112"/>
      <c r="I17" s="232" t="s">
        <v>211</v>
      </c>
      <c r="J17" s="154"/>
      <c r="K17" s="155"/>
      <c r="L17" s="112"/>
    </row>
    <row r="18" spans="1:38" ht="17.25" customHeight="1" x14ac:dyDescent="0.5">
      <c r="A18" s="156" t="s">
        <v>159</v>
      </c>
      <c r="B18" s="157">
        <v>80886</v>
      </c>
      <c r="C18" s="130">
        <f>B18/Total_Assets</f>
        <v>9.290161635443335E-2</v>
      </c>
      <c r="D18" s="126">
        <v>177366</v>
      </c>
      <c r="E18" s="158">
        <f>Last_Year_Cash/Last_Year_Total_Assets</f>
        <v>0.20027280261782116</v>
      </c>
      <c r="F18" s="159">
        <f t="shared" ref="F18:F26" si="1">C18-E18</f>
        <v>-0.10737118626338781</v>
      </c>
      <c r="G18" s="129">
        <f>Cash-Last_Year_Cash</f>
        <v>-96480</v>
      </c>
      <c r="H18" s="112"/>
      <c r="I18" s="232"/>
      <c r="J18" s="136">
        <v>-17295</v>
      </c>
      <c r="K18" s="136">
        <v>55505</v>
      </c>
      <c r="L18" s="112"/>
    </row>
    <row r="19" spans="1:38" ht="17.25" customHeight="1" thickBot="1" x14ac:dyDescent="0.55000000000000004">
      <c r="A19" s="123" t="s">
        <v>1</v>
      </c>
      <c r="B19" s="160">
        <v>148140</v>
      </c>
      <c r="C19" s="130">
        <f>Accounts_Receivable/Total_Assets</f>
        <v>0.17014619893115937</v>
      </c>
      <c r="D19" s="126">
        <v>142901</v>
      </c>
      <c r="E19" s="158">
        <f>Last_Year_Accounts_Receivable/Last_Year_Total_Assets</f>
        <v>0.16135665103170427</v>
      </c>
      <c r="F19" s="159">
        <f t="shared" si="1"/>
        <v>8.7895478994551024E-3</v>
      </c>
      <c r="G19" s="129">
        <f>Accounts_Receivable-Last_Year_Accounts_Receivable</f>
        <v>5239</v>
      </c>
      <c r="H19" s="112"/>
      <c r="I19" s="161"/>
      <c r="J19" s="162"/>
      <c r="K19" s="162"/>
      <c r="L19" s="112"/>
    </row>
    <row r="20" spans="1:38" s="165" customFormat="1" ht="18.600000000000001" thickBot="1" x14ac:dyDescent="0.55000000000000004">
      <c r="A20" s="123" t="s">
        <v>113</v>
      </c>
      <c r="B20" s="160">
        <v>223030</v>
      </c>
      <c r="C20" s="130">
        <f>Inventories/Total_Assets</f>
        <v>0.25616110940742859</v>
      </c>
      <c r="D20" s="126">
        <v>194402</v>
      </c>
      <c r="E20" s="158">
        <f>Last_Year_Inventories/Last_Year_Total_Assets</f>
        <v>0.21950900045391827</v>
      </c>
      <c r="F20" s="159">
        <f t="shared" si="1"/>
        <v>3.6652108953510315E-2</v>
      </c>
      <c r="G20" s="129">
        <f>Inventories-Last_Year_Inventories</f>
        <v>28628</v>
      </c>
      <c r="H20" s="112"/>
      <c r="I20" s="163" t="s">
        <v>212</v>
      </c>
      <c r="J20" s="164">
        <f>SUM(J5:J19)</f>
        <v>-40708</v>
      </c>
      <c r="K20" s="164">
        <f>SUM(K5:K19)</f>
        <v>76756</v>
      </c>
      <c r="L20" s="112"/>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row>
    <row r="21" spans="1:38" x14ac:dyDescent="0.5">
      <c r="A21" s="142" t="s">
        <v>160</v>
      </c>
      <c r="B21" s="157">
        <v>18303</v>
      </c>
      <c r="C21" s="130">
        <f>Prepaid_expenses_and_other_current/Total_Assets</f>
        <v>2.1021910888598689E-2</v>
      </c>
      <c r="D21" s="126">
        <v>10766</v>
      </c>
      <c r="E21" s="158">
        <f>Last_Year_Prepaid_expenses_and_other/Last_Year_Total_Assets</f>
        <v>1.2156427911682411E-2</v>
      </c>
      <c r="F21" s="159">
        <f t="shared" si="1"/>
        <v>8.865482976916278E-3</v>
      </c>
      <c r="G21" s="129">
        <f>Prepaid_expenses_and_other_current---Last_Year_Prepaid_expenses_and_other</f>
        <v>7537</v>
      </c>
      <c r="H21" s="112"/>
      <c r="I21" s="166"/>
      <c r="J21" s="167"/>
      <c r="K21" s="167"/>
      <c r="L21" s="112"/>
    </row>
    <row r="22" spans="1:38" x14ac:dyDescent="0.5">
      <c r="A22" s="142" t="s">
        <v>161</v>
      </c>
      <c r="B22" s="157">
        <v>62523</v>
      </c>
      <c r="C22" s="130">
        <f>Deferred_income_taxes/Total_Assets</f>
        <v>7.1810792465052495E-2</v>
      </c>
      <c r="D22" s="126">
        <v>59538</v>
      </c>
      <c r="E22" s="158">
        <f>Last_Year_Deferred_income_taxes/Last_Year_Total_Assets</f>
        <v>6.7227327234418294E-2</v>
      </c>
      <c r="F22" s="159">
        <f t="shared" si="1"/>
        <v>4.5834652306342011E-3</v>
      </c>
      <c r="G22" s="129">
        <f>Deferred_income_taxes-Last_Year_Deferred_income_taxes</f>
        <v>2985</v>
      </c>
      <c r="H22" s="112"/>
      <c r="I22" s="116" t="s">
        <v>213</v>
      </c>
      <c r="J22" s="136"/>
      <c r="K22" s="136"/>
      <c r="L22" s="112"/>
    </row>
    <row r="23" spans="1:38" x14ac:dyDescent="0.5">
      <c r="A23" s="123" t="s">
        <v>114</v>
      </c>
      <c r="B23" s="160">
        <v>191140</v>
      </c>
      <c r="C23" s="130">
        <f>Property__Plant__and_Equipment/Total_Assets</f>
        <v>0.2195338494917092</v>
      </c>
      <c r="D23" s="126">
        <v>173407</v>
      </c>
      <c r="E23" s="158">
        <f>Last_Year_Property__Plant__and_Equipment/Last_Year_Total_Assets</f>
        <v>0.19580249813125691</v>
      </c>
      <c r="F23" s="159">
        <f t="shared" si="1"/>
        <v>2.3731351360452291E-2</v>
      </c>
      <c r="G23" s="129">
        <f>Property__Plant__and_Equipment-Last_Year_Property__Plant__and_Equipment</f>
        <v>17733</v>
      </c>
      <c r="H23" s="112"/>
      <c r="I23" s="121" t="s">
        <v>214</v>
      </c>
      <c r="J23" s="136">
        <v>-57447</v>
      </c>
      <c r="K23" s="136">
        <v>-48699</v>
      </c>
      <c r="L23" s="112"/>
    </row>
    <row r="24" spans="1:38" x14ac:dyDescent="0.5">
      <c r="A24" s="142" t="s">
        <v>162</v>
      </c>
      <c r="B24" s="160">
        <v>19075</v>
      </c>
      <c r="C24" s="130">
        <f>Other_Assets/Total_Assets</f>
        <v>2.1908591498662512E-2</v>
      </c>
      <c r="D24" s="168">
        <v>17880</v>
      </c>
      <c r="E24" s="158">
        <f>Last_Year_Other_Assets/Last_Year_Total_Assets</f>
        <v>2.0189200358618011E-2</v>
      </c>
      <c r="F24" s="159">
        <f t="shared" si="1"/>
        <v>1.719391140044501E-3</v>
      </c>
      <c r="G24" s="129">
        <f>Other_Assets-Last_Year_Other_Assets</f>
        <v>1195</v>
      </c>
      <c r="H24" s="112"/>
      <c r="I24" s="121" t="s">
        <v>215</v>
      </c>
      <c r="J24" s="136">
        <v>653</v>
      </c>
      <c r="K24" s="136">
        <v>574</v>
      </c>
      <c r="L24" s="112"/>
    </row>
    <row r="25" spans="1:38" ht="18" customHeight="1" x14ac:dyDescent="0.5">
      <c r="A25" s="142" t="s">
        <v>163</v>
      </c>
      <c r="B25" s="160">
        <v>92020</v>
      </c>
      <c r="C25" s="130">
        <f>Goodwill/Total_Assets</f>
        <v>0.10568957219957664</v>
      </c>
      <c r="D25" s="168">
        <v>86400</v>
      </c>
      <c r="E25" s="158">
        <f>Last_Year_Goodwill/Last_Year_Total_Assets</f>
        <v>9.7558552068489721E-2</v>
      </c>
      <c r="F25" s="159">
        <f t="shared" si="1"/>
        <v>8.1310201310869218E-3</v>
      </c>
      <c r="G25" s="129">
        <f>Goodwill-Last_Year_Goodwill</f>
        <v>5620</v>
      </c>
      <c r="H25" s="112"/>
      <c r="I25" s="121" t="s">
        <v>216</v>
      </c>
      <c r="J25" s="136">
        <v>3034</v>
      </c>
      <c r="K25" s="136">
        <v>-3659</v>
      </c>
      <c r="L25" s="112"/>
    </row>
    <row r="26" spans="1:38" ht="18" customHeight="1" x14ac:dyDescent="0.5">
      <c r="A26" s="142" t="s">
        <v>164</v>
      </c>
      <c r="B26" s="160">
        <v>35546</v>
      </c>
      <c r="C26" s="130">
        <f>Other_intangible_assets/Total_Assets</f>
        <v>4.0826358763379172E-2</v>
      </c>
      <c r="D26" s="168">
        <v>22962</v>
      </c>
      <c r="E26" s="158">
        <f>Last_Year_Other_intangible_assets/Last_Year_Total_Assets</f>
        <v>2.5927540192090981E-2</v>
      </c>
      <c r="F26" s="159">
        <f t="shared" si="1"/>
        <v>1.4898818571288192E-2</v>
      </c>
      <c r="G26" s="129">
        <f>Other_intangible_assets-Last_Year_Other_intangible_assets</f>
        <v>12584</v>
      </c>
      <c r="H26" s="112"/>
      <c r="I26" s="121" t="s">
        <v>217</v>
      </c>
      <c r="J26" s="136">
        <v>-360</v>
      </c>
      <c r="K26" s="136">
        <v>635</v>
      </c>
      <c r="L26" s="112"/>
    </row>
    <row r="27" spans="1:38" x14ac:dyDescent="0.5">
      <c r="A27" s="169" t="s">
        <v>115</v>
      </c>
      <c r="B27" s="170">
        <f>SUM(B18:B26)</f>
        <v>870663</v>
      </c>
      <c r="C27" s="171">
        <f>SUM(C18:C26)</f>
        <v>1.0000000000000002</v>
      </c>
      <c r="D27" s="172">
        <f>SUM(D18:D26)</f>
        <v>885622</v>
      </c>
      <c r="E27" s="158">
        <f>SUM(E18:E26)</f>
        <v>1</v>
      </c>
      <c r="F27" s="173"/>
      <c r="G27" s="129">
        <f>Total_Assets-Last_Year_Total_Assets</f>
        <v>-14959</v>
      </c>
      <c r="H27" s="112"/>
      <c r="I27" s="121" t="s">
        <v>218</v>
      </c>
      <c r="J27" s="136">
        <v>-15155</v>
      </c>
      <c r="K27" s="136">
        <v>-9657</v>
      </c>
      <c r="L27" s="112"/>
    </row>
    <row r="28" spans="1:38" ht="18.600000000000001" thickBot="1" x14ac:dyDescent="0.55000000000000004">
      <c r="A28" s="142" t="s">
        <v>165</v>
      </c>
      <c r="B28" s="157">
        <v>1978</v>
      </c>
      <c r="C28" s="130">
        <f>Current_portion_long_term_debt/Total_Liabilities_and_Equity</f>
        <v>2.2718319257852924E-3</v>
      </c>
      <c r="D28" s="126">
        <v>1970</v>
      </c>
      <c r="E28" s="158">
        <f>Last_year_current_portion_long_term_debt/Last_year_Total_liabilities_and_Equity</f>
        <v>2.2244253191542216E-3</v>
      </c>
      <c r="F28" s="159">
        <f t="shared" ref="F28:F42" si="2">C28-E28</f>
        <v>4.7406606631070734E-5</v>
      </c>
      <c r="G28" s="129">
        <f>Current_portion_long_term_debt-Last_year_current_portion_long_term_debt</f>
        <v>8</v>
      </c>
      <c r="H28" s="112"/>
      <c r="I28" s="161"/>
      <c r="J28" s="162"/>
      <c r="K28" s="162"/>
      <c r="L28" s="112"/>
    </row>
    <row r="29" spans="1:38" ht="18.600000000000001" thickBot="1" x14ac:dyDescent="0.55000000000000004">
      <c r="A29" s="142" t="s">
        <v>166</v>
      </c>
      <c r="B29" s="157">
        <v>41</v>
      </c>
      <c r="C29" s="130">
        <f>Short_term_debt/Total_Liabilities_and_Equity</f>
        <v>4.7090550534477752E-5</v>
      </c>
      <c r="D29" s="126">
        <v>1034</v>
      </c>
      <c r="E29" s="158">
        <f>Last_year_short_term_debt/Last_year_Total_liabilities_and_Equity</f>
        <v>1.1675410050789163E-3</v>
      </c>
      <c r="F29" s="159">
        <f t="shared" si="2"/>
        <v>-1.1204504545444386E-3</v>
      </c>
      <c r="G29" s="129">
        <f>Short_term_debt-Last_year_short_term_debt</f>
        <v>-993</v>
      </c>
      <c r="H29" s="112"/>
      <c r="I29" s="163" t="s">
        <v>219</v>
      </c>
      <c r="J29" s="164">
        <f>SUM(J23:J28)</f>
        <v>-69275</v>
      </c>
      <c r="K29" s="164">
        <f>SUM(K23:K28)</f>
        <v>-60806</v>
      </c>
      <c r="L29" s="112"/>
    </row>
    <row r="30" spans="1:38" x14ac:dyDescent="0.5">
      <c r="A30" s="123" t="s">
        <v>3</v>
      </c>
      <c r="B30" s="160">
        <v>118036</v>
      </c>
      <c r="C30" s="130">
        <f>Accounts_Payable/Total_Liabilities_and_Equity</f>
        <v>0.13557024933872233</v>
      </c>
      <c r="D30" s="126">
        <v>125138</v>
      </c>
      <c r="E30" s="158">
        <f>Last_Year_Accounts_Payable/Last_year_Total_liabilities_and_Equity</f>
        <v>0.14129956121234569</v>
      </c>
      <c r="F30" s="159">
        <f t="shared" si="2"/>
        <v>-5.729311873623355E-3</v>
      </c>
      <c r="G30" s="129">
        <f>Accounts_Payable-Last_Year_Accounts_Payable</f>
        <v>-7102</v>
      </c>
      <c r="H30" s="112"/>
      <c r="I30" s="166"/>
      <c r="J30" s="167"/>
      <c r="K30" s="167"/>
      <c r="L30" s="112"/>
    </row>
    <row r="31" spans="1:38" x14ac:dyDescent="0.5">
      <c r="A31" s="142" t="s">
        <v>167</v>
      </c>
      <c r="B31" s="157">
        <f>62730+47161+53653+19417+2504+53560</f>
        <v>239025</v>
      </c>
      <c r="C31" s="130">
        <f>Accrued_liabilities/Total_Liabilities_and_Equity</f>
        <v>0.27453216686594012</v>
      </c>
      <c r="D31" s="126">
        <f>56934+43095+58707+24858+7645+48902</f>
        <v>240141</v>
      </c>
      <c r="E31" s="158">
        <f>Last_year_accrued_liabilities/Last_year_Total_liabilities_and_Equity</f>
        <v>0.27115518810508321</v>
      </c>
      <c r="F31" s="159">
        <f t="shared" si="2"/>
        <v>3.376978760856908E-3</v>
      </c>
      <c r="G31" s="129">
        <f>Accrued_liabilities-Last_year_accrued_liabilities</f>
        <v>-1116</v>
      </c>
      <c r="H31" s="112"/>
      <c r="I31" s="116" t="s">
        <v>231</v>
      </c>
      <c r="J31" s="136"/>
      <c r="K31" s="136"/>
      <c r="L31" s="112"/>
    </row>
    <row r="32" spans="1:38" x14ac:dyDescent="0.5">
      <c r="A32" s="174" t="s">
        <v>168</v>
      </c>
      <c r="B32" s="175">
        <f>SUM(B28:B31)</f>
        <v>359080</v>
      </c>
      <c r="C32" s="130">
        <f>Total_Current_Liabilities/Total_Liabilities_and_Equity</f>
        <v>0.41242133868098219</v>
      </c>
      <c r="D32" s="176">
        <f>Last_year_current_portion_long_term_debt+Last_year_short_term_debt+Last_Year_Accounts_Payable+Last_year_accrued_liabilities</f>
        <v>368283</v>
      </c>
      <c r="E32" s="158">
        <f>Last_year_current_liabilities/Last_year_Total_liabilities_and_Equity</f>
        <v>0.41584671564166203</v>
      </c>
      <c r="F32" s="159">
        <f t="shared" si="2"/>
        <v>-3.425376960679849E-3</v>
      </c>
      <c r="G32" s="129">
        <f>Total_Current_Liabilities-Last_year_current_liabilities</f>
        <v>-9203</v>
      </c>
      <c r="H32" s="112"/>
      <c r="I32" s="121" t="s">
        <v>220</v>
      </c>
      <c r="J32" s="136">
        <v>-776</v>
      </c>
      <c r="K32" s="136">
        <v>776</v>
      </c>
      <c r="L32" s="112"/>
    </row>
    <row r="33" spans="1:12" x14ac:dyDescent="0.5">
      <c r="A33" s="142" t="s">
        <v>169</v>
      </c>
      <c r="B33" s="157">
        <v>225178</v>
      </c>
      <c r="C33" s="130">
        <f>Long_term_debt_less_short_portion/Total_Liabilities_and_Equity</f>
        <v>0.25862819483543004</v>
      </c>
      <c r="D33" s="126">
        <v>223578</v>
      </c>
      <c r="E33" s="158">
        <f>Last_year_long_term_debt_less_short_portion/Last_year_Total_liabilities_and_Equity</f>
        <v>0.25245307817556473</v>
      </c>
      <c r="F33" s="159">
        <f t="shared" si="2"/>
        <v>6.1751166598653096E-3</v>
      </c>
      <c r="G33" s="129">
        <f>Long_term_debt_less_short_portion-Last_year_long_term_debt_less_short_portion</f>
        <v>1600</v>
      </c>
      <c r="H33" s="112"/>
      <c r="I33" s="121" t="s">
        <v>221</v>
      </c>
      <c r="J33" s="136">
        <v>-1857</v>
      </c>
      <c r="K33" s="136">
        <v>-3646</v>
      </c>
      <c r="L33" s="112"/>
    </row>
    <row r="34" spans="1:12" x14ac:dyDescent="0.5">
      <c r="A34" s="142" t="s">
        <v>170</v>
      </c>
      <c r="B34" s="157">
        <v>10619</v>
      </c>
      <c r="C34" s="130">
        <f>Deferred_revenue/Total_Liabilities_and_Equity</f>
        <v>1.2196452588429737E-2</v>
      </c>
      <c r="D34" s="126">
        <v>10944</v>
      </c>
      <c r="E34" s="158">
        <f>Last_year_Deferred_revenue/Last_year_Total_liabilities_and_Equity</f>
        <v>1.235741659534203E-2</v>
      </c>
      <c r="F34" s="159">
        <f t="shared" si="2"/>
        <v>-1.6096400691229321E-4</v>
      </c>
      <c r="G34" s="129">
        <f>Deferred_revenue-Last_year_Deferred_revenue</f>
        <v>-325</v>
      </c>
      <c r="H34" s="112"/>
      <c r="I34" s="121" t="s">
        <v>222</v>
      </c>
      <c r="J34" s="136">
        <v>2988</v>
      </c>
      <c r="K34" s="136">
        <v>3396</v>
      </c>
      <c r="L34" s="112"/>
    </row>
    <row r="35" spans="1:12" x14ac:dyDescent="0.5">
      <c r="A35" s="142" t="s">
        <v>161</v>
      </c>
      <c r="B35" s="157">
        <v>1368</v>
      </c>
      <c r="C35" s="130">
        <f>Deferred_income_taxes_liability/Total_Liabilities_and_Equity</f>
        <v>1.5712164178333064E-3</v>
      </c>
      <c r="D35" s="126">
        <v>0</v>
      </c>
      <c r="E35" s="158">
        <f>Last_year_Deferred_income_taxes_liabilities/Last_year_Total_liabilities_and_Equity</f>
        <v>0</v>
      </c>
      <c r="F35" s="159">
        <f t="shared" si="2"/>
        <v>1.5712164178333064E-3</v>
      </c>
      <c r="G35" s="129">
        <f>Deferred_income_taxes_liability-Last_year_Deferred_income_taxes_liabilities</f>
        <v>1368</v>
      </c>
      <c r="H35" s="112"/>
      <c r="I35" s="121" t="s">
        <v>223</v>
      </c>
      <c r="J35" s="136">
        <v>14467</v>
      </c>
      <c r="K35" s="136">
        <v>16680</v>
      </c>
      <c r="L35" s="112"/>
    </row>
    <row r="36" spans="1:12" ht="18.600000000000001" thickBot="1" x14ac:dyDescent="0.55000000000000004">
      <c r="A36" s="142" t="s">
        <v>180</v>
      </c>
      <c r="B36" s="157">
        <v>7651</v>
      </c>
      <c r="C36" s="177">
        <f>Other_long_term_liabilities/Total_Liabilities_and_Equity</f>
        <v>8.7875561497387615E-3</v>
      </c>
      <c r="D36" s="126">
        <v>7007</v>
      </c>
      <c r="E36" s="178">
        <f>Last_year_Other_long_term_liabilities/Last_year_Total_liabilities_and_Equity</f>
        <v>7.9119534067581872E-3</v>
      </c>
      <c r="F36" s="159">
        <f t="shared" si="2"/>
        <v>8.7560274298057426E-4</v>
      </c>
      <c r="G36" s="129">
        <f>Other_long_term_liabilities-Last_year_Other_long_term_liabilities</f>
        <v>644</v>
      </c>
      <c r="H36" s="112"/>
      <c r="I36" s="121" t="s">
        <v>224</v>
      </c>
      <c r="J36" s="136">
        <v>-129955</v>
      </c>
      <c r="K36" s="136">
        <v>-135777</v>
      </c>
      <c r="L36" s="112"/>
    </row>
    <row r="37" spans="1:12" ht="17.25" customHeight="1" thickBot="1" x14ac:dyDescent="0.55000000000000004">
      <c r="A37" s="179" t="s">
        <v>116</v>
      </c>
      <c r="B37" s="180">
        <f>Total_Current_Liabilities+Long_term_debt_less_short_portion+Deferred_revenue+Deferred_income_taxes_liability+Other_long_term_liabilities</f>
        <v>603896</v>
      </c>
      <c r="C37" s="181">
        <f>Total_Liabilities/Total_Liabilities_and_Equity</f>
        <v>0.693604758672414</v>
      </c>
      <c r="D37" s="182">
        <f>Last_year_current_liabilities+Last_year_long_term_debt_less_short_portion+Last_year_Deferred_revenue+Last_year_Deferred_income_taxes_liabilities+Last_year_Other_long_term_liabilities</f>
        <v>609812</v>
      </c>
      <c r="E37" s="183">
        <f>Last_Year_Total_Liabilities/Last_year_Total_liabilities_and_Equity</f>
        <v>0.68856916381932698</v>
      </c>
      <c r="F37" s="159">
        <f t="shared" si="2"/>
        <v>5.035594853087022E-3</v>
      </c>
      <c r="G37" s="129">
        <f>Total_Liabilities-Last_Year_Total_Liabilities</f>
        <v>-5916</v>
      </c>
      <c r="H37" s="112"/>
      <c r="I37" s="121" t="s">
        <v>225</v>
      </c>
      <c r="J37" s="136">
        <v>-24970</v>
      </c>
      <c r="K37" s="136">
        <v>-23721</v>
      </c>
      <c r="L37" s="112"/>
    </row>
    <row r="38" spans="1:12" ht="17.25" customHeight="1" thickBot="1" x14ac:dyDescent="0.55000000000000004">
      <c r="A38" s="142" t="s">
        <v>174</v>
      </c>
      <c r="B38" s="157">
        <v>0</v>
      </c>
      <c r="C38" s="184">
        <f>Preferred_Stock/Total_Liabilities_and_Equity</f>
        <v>0</v>
      </c>
      <c r="D38" s="168">
        <v>0</v>
      </c>
      <c r="E38" s="185">
        <f>Last_year_preferred_stock/Last_year_Total_liabilities_and_Equity</f>
        <v>0</v>
      </c>
      <c r="F38" s="186">
        <f t="shared" si="2"/>
        <v>0</v>
      </c>
      <c r="G38" s="129">
        <f>Preferred_Stock-Last_year_preferred_stock</f>
        <v>0</v>
      </c>
      <c r="H38" s="112"/>
      <c r="I38" s="161"/>
      <c r="J38" s="162"/>
      <c r="K38" s="162"/>
      <c r="L38" s="112"/>
    </row>
    <row r="39" spans="1:12" ht="18.600000000000001" thickBot="1" x14ac:dyDescent="0.55000000000000004">
      <c r="A39" s="156" t="s">
        <v>175</v>
      </c>
      <c r="B39" s="160">
        <v>29603</v>
      </c>
      <c r="C39" s="187">
        <f>Common_Stock/Total_Liabilities_and_Equity</f>
        <v>3.4000526035905969E-2</v>
      </c>
      <c r="D39" s="168">
        <v>31395</v>
      </c>
      <c r="E39" s="158">
        <f>Last_year_common_stock/Last_year_Total_liabilities_and_Equity</f>
        <v>3.5449661367942531E-2</v>
      </c>
      <c r="F39" s="186">
        <f t="shared" si="2"/>
        <v>-1.4491353320365621E-3</v>
      </c>
      <c r="G39" s="129">
        <f>Common_Stock-Last_year_common_stock</f>
        <v>-1792</v>
      </c>
      <c r="H39" s="112"/>
      <c r="I39" s="163" t="s">
        <v>226</v>
      </c>
      <c r="J39" s="164">
        <f>SUM(J32:J38)</f>
        <v>-140103</v>
      </c>
      <c r="K39" s="164">
        <f>SUM(K32:K38)</f>
        <v>-142292</v>
      </c>
      <c r="L39" s="112"/>
    </row>
    <row r="40" spans="1:12" ht="18.600000000000001" thickBot="1" x14ac:dyDescent="0.55000000000000004">
      <c r="A40" s="156" t="s">
        <v>176</v>
      </c>
      <c r="B40" s="160">
        <v>243990</v>
      </c>
      <c r="C40" s="187">
        <f>Retained_Earnings/Total_Liabilities_and_Equity</f>
        <v>0.28023471768066405</v>
      </c>
      <c r="D40" s="168">
        <v>253477</v>
      </c>
      <c r="E40" s="158">
        <f>Last_year_retained_earnings/Last_year_Total_liabilities_and_Equity</f>
        <v>0.28621353128083993</v>
      </c>
      <c r="F40" s="186">
        <f t="shared" si="2"/>
        <v>-5.9788136001758807E-3</v>
      </c>
      <c r="G40" s="129">
        <f>Retained_Earnings-Last_year_retained_earnings</f>
        <v>-9487</v>
      </c>
      <c r="H40" s="112"/>
      <c r="I40" s="188"/>
      <c r="J40" s="189"/>
      <c r="K40" s="189"/>
      <c r="L40" s="112"/>
    </row>
    <row r="41" spans="1:12" ht="18.600000000000001" thickBot="1" x14ac:dyDescent="0.55000000000000004">
      <c r="A41" s="156" t="s">
        <v>177</v>
      </c>
      <c r="B41" s="160">
        <v>-6826</v>
      </c>
      <c r="C41" s="187">
        <f>Accumulated_other_loss/Total_Liabilities_and_Equity</f>
        <v>-7.8400023889840277E-3</v>
      </c>
      <c r="D41" s="168">
        <v>-9062</v>
      </c>
      <c r="E41" s="158">
        <f>Last_year_Accumulated_other_loss/Last_year_Total_liabilities_and_Equity</f>
        <v>-1.0232356468109419E-2</v>
      </c>
      <c r="F41" s="186">
        <f t="shared" si="2"/>
        <v>2.3923540791253913E-3</v>
      </c>
      <c r="G41" s="129">
        <f>(Accumulated_other_loss-Last_year_Accumulated_other_loss)*-1</f>
        <v>-2236</v>
      </c>
      <c r="H41" s="112"/>
      <c r="I41" s="190" t="s">
        <v>227</v>
      </c>
      <c r="J41" s="191">
        <v>-979</v>
      </c>
      <c r="K41" s="191">
        <v>-816</v>
      </c>
      <c r="L41" s="112"/>
    </row>
    <row r="42" spans="1:12" ht="18.600000000000001" thickBot="1" x14ac:dyDescent="0.55000000000000004">
      <c r="A42" s="179" t="s">
        <v>117</v>
      </c>
      <c r="B42" s="170">
        <f>Preferred_Stock+Common_Stock+Retained_Earnings+Accumulated_other_loss</f>
        <v>266767</v>
      </c>
      <c r="C42" s="130">
        <f>Total_Equity/Total_Liabilities_and_Equity</f>
        <v>0.306395241327586</v>
      </c>
      <c r="D42" s="176">
        <f>Last_year_preferred_stock+Last_year_common_stock+Last_year_retained_earnings+Last_year_Accumulated_other_loss</f>
        <v>275810</v>
      </c>
      <c r="E42" s="158">
        <f>Last_Year_Total_Equity/Last_year_Total_liabilities_and_Equity</f>
        <v>0.31143083618067302</v>
      </c>
      <c r="F42" s="159">
        <f t="shared" si="2"/>
        <v>-5.035594853087022E-3</v>
      </c>
      <c r="G42" s="129">
        <f>Total_Equity-Last_Year_Total_Equity</f>
        <v>-9043</v>
      </c>
      <c r="H42" s="112"/>
      <c r="I42" s="190" t="s">
        <v>228</v>
      </c>
      <c r="J42" s="164">
        <f>J20+J29+J39+J41</f>
        <v>-251065</v>
      </c>
      <c r="K42" s="164">
        <f>K20+K29+K39+K41</f>
        <v>-127158</v>
      </c>
      <c r="L42" s="112"/>
    </row>
    <row r="43" spans="1:12" ht="18.600000000000001" thickBot="1" x14ac:dyDescent="0.55000000000000004">
      <c r="A43" s="174" t="s">
        <v>178</v>
      </c>
      <c r="B43" s="175">
        <f>SUM(Total_Liabilities+Total_Equity)</f>
        <v>870663</v>
      </c>
      <c r="C43" s="192">
        <f>SUM(C42+C37)</f>
        <v>1</v>
      </c>
      <c r="D43" s="176">
        <f>Last_Year_Total_Equity+Last_Year_Total_Liabilities</f>
        <v>885622</v>
      </c>
      <c r="E43" s="193">
        <f>SUM(E37+E42)</f>
        <v>1</v>
      </c>
      <c r="F43" s="194"/>
      <c r="G43" s="129">
        <f>Total_Liabilities_and_Equity-Last_year_Total_liabilities_and_Equity</f>
        <v>-14959</v>
      </c>
      <c r="H43" s="112"/>
      <c r="I43" s="190" t="s">
        <v>230</v>
      </c>
      <c r="J43" s="164">
        <f>Last_Year_Cash</f>
        <v>177366</v>
      </c>
      <c r="K43" s="191">
        <v>187773</v>
      </c>
      <c r="L43" s="112"/>
    </row>
    <row r="44" spans="1:12" ht="18.600000000000001" thickBot="1" x14ac:dyDescent="0.55000000000000004">
      <c r="A44" s="195"/>
      <c r="B44" s="196"/>
      <c r="C44" s="197"/>
      <c r="D44" s="196"/>
      <c r="E44" s="197"/>
      <c r="F44" s="198"/>
      <c r="G44" s="196"/>
      <c r="H44" s="112"/>
      <c r="I44" s="190" t="s">
        <v>229</v>
      </c>
      <c r="J44" s="199">
        <f>SUM(J42:J43)</f>
        <v>-73699</v>
      </c>
      <c r="K44" s="199">
        <f>SUM(K42:K43)</f>
        <v>60615</v>
      </c>
      <c r="L44" s="112"/>
    </row>
    <row r="45" spans="1:12" x14ac:dyDescent="0.5">
      <c r="A45" s="200"/>
      <c r="B45" s="201" t="s">
        <v>187</v>
      </c>
      <c r="C45" s="201" t="s">
        <v>183</v>
      </c>
      <c r="D45" s="202">
        <f>B5</f>
        <v>2011</v>
      </c>
      <c r="E45" s="203" t="s">
        <v>186</v>
      </c>
      <c r="F45" s="202">
        <f>D5</f>
        <v>2010</v>
      </c>
      <c r="G45" s="203" t="s">
        <v>186</v>
      </c>
      <c r="H45" s="112"/>
      <c r="I45" s="111"/>
      <c r="J45" s="112"/>
      <c r="K45" s="112"/>
      <c r="L45" s="112"/>
    </row>
    <row r="46" spans="1:12" x14ac:dyDescent="0.5">
      <c r="A46" s="204" t="s">
        <v>181</v>
      </c>
      <c r="B46" s="205">
        <v>1000000</v>
      </c>
      <c r="C46" s="144">
        <v>1</v>
      </c>
      <c r="D46" s="206">
        <v>0</v>
      </c>
      <c r="E46" s="207">
        <f>D46*C46</f>
        <v>0</v>
      </c>
      <c r="F46" s="206">
        <v>0</v>
      </c>
      <c r="G46" s="207">
        <f>F46*C46</f>
        <v>0</v>
      </c>
      <c r="H46" s="112"/>
      <c r="I46" s="208"/>
    </row>
    <row r="47" spans="1:12" x14ac:dyDescent="0.5">
      <c r="A47" s="204" t="s">
        <v>182</v>
      </c>
      <c r="B47" s="205">
        <v>100000000</v>
      </c>
      <c r="C47" s="144">
        <v>1</v>
      </c>
      <c r="D47" s="206">
        <v>29603095</v>
      </c>
      <c r="E47" s="129">
        <f>(C47*D47)/1000</f>
        <v>29603.095000000001</v>
      </c>
      <c r="F47" s="206">
        <v>31394942</v>
      </c>
      <c r="G47" s="129">
        <f>(F47*C47)/1000</f>
        <v>31394.941999999999</v>
      </c>
      <c r="H47" s="112"/>
    </row>
    <row r="48" spans="1:12" x14ac:dyDescent="0.5">
      <c r="A48" s="204" t="s">
        <v>246</v>
      </c>
      <c r="B48" s="213"/>
      <c r="C48" s="214"/>
      <c r="D48" s="215"/>
      <c r="E48" s="209">
        <v>54.04</v>
      </c>
      <c r="F48" s="210"/>
      <c r="G48" s="209">
        <v>29.75</v>
      </c>
      <c r="H48" s="112"/>
    </row>
  </sheetData>
  <mergeCells count="16">
    <mergeCell ref="I17:I18"/>
    <mergeCell ref="K6:K7"/>
    <mergeCell ref="I3:K3"/>
    <mergeCell ref="I6:I7"/>
    <mergeCell ref="J6:J7"/>
    <mergeCell ref="B48:D48"/>
    <mergeCell ref="F16:F17"/>
    <mergeCell ref="G16:G17"/>
    <mergeCell ref="A3:G3"/>
    <mergeCell ref="G4:G5"/>
    <mergeCell ref="C16:C17"/>
    <mergeCell ref="E16:E17"/>
    <mergeCell ref="C4:C5"/>
    <mergeCell ref="E4:E5"/>
    <mergeCell ref="F4:F5"/>
    <mergeCell ref="B15:G15"/>
  </mergeCells>
  <conditionalFormatting sqref="J20">
    <cfRule type="cellIs" dxfId="0" priority="2" operator="equal">
      <formula>0</formula>
    </cfRule>
  </conditionalFormatting>
  <printOptions horizontalCentered="1"/>
  <pageMargins left="0.25" right="0.25" top="0.75" bottom="0.75" header="0.3" footer="0.3"/>
  <pageSetup scale="63" orientation="landscape" r:id="rId1"/>
  <headerFooter>
    <oddHeader>&amp;C&amp;20The Toro Company</oddHeader>
    <oddFooter>&amp;R&amp;D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6" r:id="rId4" name="Button 18">
              <controlPr defaultSize="0" print="0" autoFill="0" autoPict="0" macro="[0]!Clear_Data" altText="Clear Data">
                <anchor moveWithCells="1">
                  <from>
                    <xdr:col>0</xdr:col>
                    <xdr:colOff>601980</xdr:colOff>
                    <xdr:row>14</xdr:row>
                    <xdr:rowOff>114300</xdr:rowOff>
                  </from>
                  <to>
                    <xdr:col>0</xdr:col>
                    <xdr:colOff>1699260</xdr:colOff>
                    <xdr:row>15</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249977111117893"/>
    <pageSetUpPr fitToPage="1"/>
  </sheetPr>
  <dimension ref="B3:I48"/>
  <sheetViews>
    <sheetView workbookViewId="0">
      <selection activeCell="C9" sqref="C9"/>
    </sheetView>
  </sheetViews>
  <sheetFormatPr defaultRowHeight="18" x14ac:dyDescent="0.5"/>
  <cols>
    <col min="2" max="2" width="37.109375" bestFit="1" customWidth="1"/>
    <col min="3" max="3" width="11.44140625" customWidth="1"/>
    <col min="4" max="4" width="10.44140625" customWidth="1"/>
    <col min="5" max="5" width="5.88671875" customWidth="1"/>
    <col min="6" max="6" width="3.77734375" customWidth="1"/>
    <col min="7" max="7" width="37.109375" bestFit="1" customWidth="1"/>
    <col min="8" max="8" width="12.77734375" customWidth="1"/>
  </cols>
  <sheetData>
    <row r="3" spans="2:9" ht="18.600000000000001" thickBot="1" x14ac:dyDescent="0.55000000000000004"/>
    <row r="4" spans="2:9" ht="22.2" thickBot="1" x14ac:dyDescent="0.55000000000000004">
      <c r="B4" s="241" t="s">
        <v>179</v>
      </c>
      <c r="C4" s="242"/>
      <c r="D4" s="243"/>
      <c r="E4" s="95"/>
      <c r="G4" s="241" t="s">
        <v>128</v>
      </c>
      <c r="H4" s="242"/>
      <c r="I4" s="243"/>
    </row>
    <row r="5" spans="2:9" x14ac:dyDescent="0.5">
      <c r="B5" s="31"/>
      <c r="C5" s="31"/>
      <c r="D5" s="44"/>
      <c r="E5" s="95"/>
      <c r="I5" s="44"/>
    </row>
    <row r="6" spans="2:9" x14ac:dyDescent="0.5">
      <c r="B6" s="62" t="s">
        <v>119</v>
      </c>
      <c r="C6" s="81"/>
      <c r="D6" s="85"/>
      <c r="E6" s="95"/>
      <c r="G6" s="25" t="s">
        <v>129</v>
      </c>
      <c r="I6" s="44"/>
    </row>
    <row r="7" spans="2:9" ht="18.600000000000001" thickBot="1" x14ac:dyDescent="0.55000000000000004">
      <c r="B7" s="42" t="s">
        <v>110</v>
      </c>
      <c r="C7" s="74">
        <f>Net_Income</f>
        <v>-36927</v>
      </c>
      <c r="D7" s="251">
        <f>SUM(C7/C8)</f>
        <v>-0.56784560971859144</v>
      </c>
      <c r="E7" s="95"/>
      <c r="G7" s="22" t="s">
        <v>130</v>
      </c>
      <c r="H7" s="69">
        <f>Gross_Profit</f>
        <v>44670</v>
      </c>
      <c r="I7" s="244">
        <f>SUM(H7/H8)</f>
        <v>0.68691373212363527</v>
      </c>
    </row>
    <row r="8" spans="2:9" x14ac:dyDescent="0.5">
      <c r="B8" s="42" t="s">
        <v>105</v>
      </c>
      <c r="C8" s="73">
        <f>Net_Sales</f>
        <v>65030</v>
      </c>
      <c r="D8" s="252"/>
      <c r="E8" s="95"/>
      <c r="G8" s="22" t="s">
        <v>105</v>
      </c>
      <c r="H8" s="68">
        <f>Net_Sales</f>
        <v>65030</v>
      </c>
      <c r="I8" s="244"/>
    </row>
    <row r="9" spans="2:9" x14ac:dyDescent="0.5">
      <c r="B9" s="31"/>
      <c r="C9" s="31"/>
      <c r="D9" s="258" t="s">
        <v>127</v>
      </c>
      <c r="E9" s="95"/>
      <c r="I9" s="44"/>
    </row>
    <row r="10" spans="2:9" x14ac:dyDescent="0.5">
      <c r="B10" s="41" t="s">
        <v>120</v>
      </c>
      <c r="C10" s="31"/>
      <c r="D10" s="259"/>
      <c r="E10" s="96"/>
      <c r="G10" s="25" t="s">
        <v>131</v>
      </c>
      <c r="I10" s="44"/>
    </row>
    <row r="11" spans="2:9" ht="18.600000000000001" thickBot="1" x14ac:dyDescent="0.55000000000000004">
      <c r="B11" s="42" t="s">
        <v>105</v>
      </c>
      <c r="C11" s="74">
        <f>Net_Sales</f>
        <v>65030</v>
      </c>
      <c r="D11" s="253">
        <f>SUM(C11/C12)</f>
        <v>7.4054040204180979E-2</v>
      </c>
      <c r="E11" s="95"/>
      <c r="G11" s="22" t="s">
        <v>107</v>
      </c>
      <c r="H11" s="69">
        <f>Operating_Income</f>
        <v>12361</v>
      </c>
      <c r="I11" s="244">
        <f>SUM(H11/H12)</f>
        <v>0.1900815008457635</v>
      </c>
    </row>
    <row r="12" spans="2:9" x14ac:dyDescent="0.5">
      <c r="B12" s="42" t="s">
        <v>121</v>
      </c>
      <c r="C12" s="73">
        <f>(Last_Year_Total_Assets+Total_Assets)/2</f>
        <v>878142.5</v>
      </c>
      <c r="D12" s="254"/>
      <c r="E12" s="95"/>
      <c r="G12" s="22" t="s">
        <v>105</v>
      </c>
      <c r="H12" s="68">
        <f>H8</f>
        <v>65030</v>
      </c>
      <c r="I12" s="244"/>
    </row>
    <row r="13" spans="2:9" x14ac:dyDescent="0.5">
      <c r="B13" s="31"/>
      <c r="C13" s="31"/>
      <c r="D13" s="260" t="s">
        <v>127</v>
      </c>
      <c r="E13" s="31"/>
      <c r="I13" s="44"/>
    </row>
    <row r="14" spans="2:9" x14ac:dyDescent="0.5">
      <c r="B14" s="41" t="s">
        <v>122</v>
      </c>
      <c r="C14" s="31"/>
      <c r="D14" s="261"/>
      <c r="E14" s="105"/>
      <c r="G14" s="25" t="s">
        <v>119</v>
      </c>
      <c r="I14" s="44"/>
    </row>
    <row r="15" spans="2:9" ht="18.600000000000001" thickBot="1" x14ac:dyDescent="0.55000000000000004">
      <c r="B15" s="42" t="s">
        <v>121</v>
      </c>
      <c r="C15" s="74">
        <f>C12</f>
        <v>878142.5</v>
      </c>
      <c r="D15" s="255">
        <f>SUM(C15/C16)</f>
        <v>3.2369322695211924</v>
      </c>
      <c r="E15" s="31"/>
      <c r="G15" s="22" t="s">
        <v>110</v>
      </c>
      <c r="H15" s="69">
        <f>Net_Income</f>
        <v>-36927</v>
      </c>
      <c r="I15" s="244">
        <f>SUM(H15/H16)</f>
        <v>-0.56784560971859144</v>
      </c>
    </row>
    <row r="16" spans="2:9" x14ac:dyDescent="0.5">
      <c r="B16" s="42" t="s">
        <v>123</v>
      </c>
      <c r="C16" s="73">
        <f>(Total_Equity+Last_Year_Total_Equity)/2</f>
        <v>271288.5</v>
      </c>
      <c r="D16" s="256"/>
      <c r="E16" s="31"/>
      <c r="G16" s="22" t="s">
        <v>105</v>
      </c>
      <c r="H16" s="68">
        <f>H12</f>
        <v>65030</v>
      </c>
      <c r="I16" s="244"/>
    </row>
    <row r="17" spans="2:9" ht="18.600000000000001" thickBot="1" x14ac:dyDescent="0.55000000000000004">
      <c r="B17" s="31"/>
      <c r="C17" s="31"/>
      <c r="D17" s="262" t="s">
        <v>104</v>
      </c>
      <c r="E17" s="31"/>
      <c r="G17" s="51"/>
      <c r="H17" s="52"/>
      <c r="I17" s="50"/>
    </row>
    <row r="18" spans="2:9" ht="19.2" x14ac:dyDescent="0.5">
      <c r="B18" s="59" t="s">
        <v>124</v>
      </c>
      <c r="C18" s="31"/>
      <c r="D18" s="263"/>
      <c r="E18" s="106"/>
    </row>
    <row r="19" spans="2:9" x14ac:dyDescent="0.5">
      <c r="B19" s="42" t="s">
        <v>110</v>
      </c>
      <c r="C19" s="72">
        <f>C7</f>
        <v>-36927</v>
      </c>
      <c r="D19" s="257">
        <f>SUM(C19/C20)</f>
        <v>-0.13611708568553404</v>
      </c>
      <c r="E19" s="97"/>
      <c r="G19" s="58" t="s">
        <v>126</v>
      </c>
    </row>
    <row r="20" spans="2:9" ht="18.600000000000001" thickBot="1" x14ac:dyDescent="0.55000000000000004">
      <c r="B20" s="42" t="s">
        <v>125</v>
      </c>
      <c r="C20" s="72">
        <f>C16</f>
        <v>271288.5</v>
      </c>
      <c r="D20" s="257"/>
      <c r="E20" s="97"/>
      <c r="G20" s="24" t="s">
        <v>110</v>
      </c>
      <c r="H20" s="71">
        <f>C7</f>
        <v>-36927</v>
      </c>
      <c r="I20" s="239">
        <f>SUM(H20/H21)</f>
        <v>-4.2051261611868236E-2</v>
      </c>
    </row>
    <row r="21" spans="2:9" ht="18.600000000000001" thickBot="1" x14ac:dyDescent="0.55000000000000004">
      <c r="B21" s="49"/>
      <c r="C21" s="49"/>
      <c r="D21" s="50"/>
      <c r="E21" s="31"/>
      <c r="G21" s="24" t="s">
        <v>121</v>
      </c>
      <c r="H21" s="70">
        <f>C12</f>
        <v>878142.5</v>
      </c>
      <c r="I21" s="240"/>
    </row>
    <row r="22" spans="2:9" ht="18.600000000000001" thickBot="1" x14ac:dyDescent="0.55000000000000004"/>
    <row r="23" spans="2:9" ht="22.2" thickBot="1" x14ac:dyDescent="0.6">
      <c r="B23" s="245" t="s">
        <v>239</v>
      </c>
      <c r="C23" s="246"/>
      <c r="D23" s="246"/>
      <c r="E23" s="246"/>
      <c r="F23" s="246"/>
      <c r="G23" s="246"/>
      <c r="H23" s="246"/>
      <c r="I23" s="247"/>
    </row>
    <row r="24" spans="2:9" x14ac:dyDescent="0.5">
      <c r="I24" s="43"/>
    </row>
    <row r="25" spans="2:9" x14ac:dyDescent="0.5">
      <c r="B25" s="99" t="s">
        <v>185</v>
      </c>
      <c r="C25" s="98"/>
      <c r="D25" s="98"/>
      <c r="G25" s="99" t="s">
        <v>244</v>
      </c>
      <c r="H25" s="98"/>
      <c r="I25" s="104"/>
    </row>
    <row r="26" spans="2:9" x14ac:dyDescent="0.5">
      <c r="B26" s="65" t="s">
        <v>240</v>
      </c>
      <c r="C26" s="100">
        <f>C7</f>
        <v>-36927</v>
      </c>
      <c r="D26" s="264">
        <f>C26/C27</f>
        <v>-1.2107602741380021</v>
      </c>
      <c r="G26" s="65" t="s">
        <v>245</v>
      </c>
      <c r="H26" s="102">
        <f>'Fin. Statements'!E48</f>
        <v>54.04</v>
      </c>
      <c r="I26" s="237">
        <f>H26/H27</f>
        <v>-44.633112891380293</v>
      </c>
    </row>
    <row r="27" spans="2:9" x14ac:dyDescent="0.5">
      <c r="B27" s="65" t="s">
        <v>241</v>
      </c>
      <c r="C27" s="101">
        <f>(('Fin. Statements'!D47+'Fin. Statements'!F47)/2)/1000</f>
        <v>30499.018499999998</v>
      </c>
      <c r="D27" s="264"/>
      <c r="G27" s="65" t="s">
        <v>185</v>
      </c>
      <c r="H27" s="103">
        <f>D26</f>
        <v>-1.2107602741380021</v>
      </c>
      <c r="I27" s="237"/>
    </row>
    <row r="28" spans="2:9" x14ac:dyDescent="0.5">
      <c r="I28" s="44"/>
    </row>
    <row r="29" spans="2:9" x14ac:dyDescent="0.5">
      <c r="B29" s="99" t="s">
        <v>242</v>
      </c>
      <c r="C29" s="98"/>
      <c r="D29" s="98"/>
      <c r="G29" s="99" t="s">
        <v>247</v>
      </c>
      <c r="H29" s="98"/>
      <c r="I29" s="104"/>
    </row>
    <row r="30" spans="2:9" x14ac:dyDescent="0.5">
      <c r="B30" s="65" t="s">
        <v>243</v>
      </c>
      <c r="C30" s="100">
        <f>('Fin. Statements'!J37)*-1</f>
        <v>24970</v>
      </c>
      <c r="D30" s="236">
        <f>C30/C31</f>
        <v>-0.67619898719094429</v>
      </c>
      <c r="G30" s="65" t="s">
        <v>248</v>
      </c>
      <c r="H30" s="102">
        <v>0.8</v>
      </c>
      <c r="I30" s="238">
        <f>H30/H31</f>
        <v>1.4803849000740193E-2</v>
      </c>
    </row>
    <row r="31" spans="2:9" x14ac:dyDescent="0.5">
      <c r="B31" s="65" t="s">
        <v>110</v>
      </c>
      <c r="C31" s="101">
        <f>C7</f>
        <v>-36927</v>
      </c>
      <c r="D31" s="236"/>
      <c r="G31" s="65" t="s">
        <v>245</v>
      </c>
      <c r="H31" s="103">
        <f>H26</f>
        <v>54.04</v>
      </c>
      <c r="I31" s="238"/>
    </row>
    <row r="32" spans="2:9" ht="18.600000000000001" thickBot="1" x14ac:dyDescent="0.55000000000000004">
      <c r="B32" s="45"/>
      <c r="C32" s="45"/>
      <c r="D32" s="45"/>
      <c r="E32" s="45"/>
      <c r="F32" s="45"/>
      <c r="G32" s="45"/>
      <c r="H32" s="45"/>
      <c r="I32" s="46"/>
    </row>
    <row r="46" spans="2:4" x14ac:dyDescent="0.5">
      <c r="B46" s="64" t="s">
        <v>185</v>
      </c>
      <c r="C46" s="249"/>
      <c r="D46" s="250"/>
    </row>
    <row r="47" spans="2:4" x14ac:dyDescent="0.5">
      <c r="B47" s="65" t="s">
        <v>184</v>
      </c>
      <c r="C47" s="66">
        <f>Net_Income</f>
        <v>-36927</v>
      </c>
      <c r="D47" s="248">
        <f>C47/C48</f>
        <v>-1.2107602741380021</v>
      </c>
    </row>
    <row r="48" spans="2:4" x14ac:dyDescent="0.5">
      <c r="B48" s="65" t="s">
        <v>188</v>
      </c>
      <c r="C48" s="67">
        <f>SUM(('Fin. Statements'!D47+'Fin. Statements'!F47)/2)/1000</f>
        <v>30499.018499999998</v>
      </c>
      <c r="D48" s="248"/>
    </row>
  </sheetData>
  <mergeCells count="20">
    <mergeCell ref="D47:D48"/>
    <mergeCell ref="C46:D46"/>
    <mergeCell ref="B4:D4"/>
    <mergeCell ref="D7:D8"/>
    <mergeCell ref="D11:D12"/>
    <mergeCell ref="D15:D16"/>
    <mergeCell ref="D19:D20"/>
    <mergeCell ref="D9:D10"/>
    <mergeCell ref="D13:D14"/>
    <mergeCell ref="D17:D18"/>
    <mergeCell ref="D26:D27"/>
    <mergeCell ref="D30:D31"/>
    <mergeCell ref="I26:I27"/>
    <mergeCell ref="I30:I31"/>
    <mergeCell ref="I20:I21"/>
    <mergeCell ref="G4:I4"/>
    <mergeCell ref="I7:I8"/>
    <mergeCell ref="B23:I23"/>
    <mergeCell ref="I11:I12"/>
    <mergeCell ref="I15:I16"/>
  </mergeCells>
  <printOptions horizontalCentered="1"/>
  <pageMargins left="0.25" right="0.25" top="0.75" bottom="0.75" header="0.3" footer="0.3"/>
  <pageSetup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59999389629810485"/>
    <pageSetUpPr fitToPage="1"/>
  </sheetPr>
  <dimension ref="B1:H55"/>
  <sheetViews>
    <sheetView topLeftCell="A40" workbookViewId="0">
      <selection activeCell="D46" sqref="D46"/>
    </sheetView>
  </sheetViews>
  <sheetFormatPr defaultRowHeight="18" x14ac:dyDescent="0.5"/>
  <cols>
    <col min="2" max="2" width="34" customWidth="1"/>
    <col min="3" max="3" width="14.6640625" customWidth="1"/>
    <col min="4" max="4" width="9.21875" bestFit="1" customWidth="1"/>
    <col min="6" max="6" width="44.6640625" bestFit="1" customWidth="1"/>
    <col min="7" max="7" width="14.6640625" customWidth="1"/>
    <col min="8" max="8" width="13.77734375" customWidth="1"/>
  </cols>
  <sheetData>
    <row r="1" spans="2:8" ht="18.600000000000001" thickBot="1" x14ac:dyDescent="0.55000000000000004"/>
    <row r="2" spans="2:8" ht="22.2" thickBot="1" x14ac:dyDescent="0.6">
      <c r="B2" s="279" t="s">
        <v>189</v>
      </c>
      <c r="C2" s="280"/>
      <c r="D2" s="280"/>
      <c r="E2" s="280"/>
      <c r="F2" s="280"/>
      <c r="G2" s="280"/>
      <c r="H2" s="281"/>
    </row>
    <row r="3" spans="2:8" ht="24.6" x14ac:dyDescent="0.6">
      <c r="B3" s="34"/>
      <c r="C3" s="35"/>
      <c r="D3" s="35"/>
      <c r="E3" s="35"/>
      <c r="F3" s="53"/>
      <c r="G3" s="35"/>
      <c r="H3" s="54"/>
    </row>
    <row r="4" spans="2:8" x14ac:dyDescent="0.5">
      <c r="B4" s="33" t="s">
        <v>135</v>
      </c>
      <c r="F4" s="33" t="s">
        <v>133</v>
      </c>
      <c r="H4" s="44"/>
    </row>
    <row r="5" spans="2:8" ht="18.600000000000001" thickBot="1" x14ac:dyDescent="0.55000000000000004">
      <c r="B5" s="23" t="s">
        <v>105</v>
      </c>
      <c r="C5" s="75">
        <f>Net_Sales</f>
        <v>65030</v>
      </c>
      <c r="D5" s="284">
        <f>SUM(C5/C6)</f>
        <v>0.44687861847643462</v>
      </c>
      <c r="F5" s="27" t="s">
        <v>134</v>
      </c>
      <c r="G5" s="48">
        <v>365</v>
      </c>
      <c r="H5" s="285">
        <f>SUM(G5/G6)</f>
        <v>816.77660310625856</v>
      </c>
    </row>
    <row r="6" spans="2:8" x14ac:dyDescent="0.5">
      <c r="B6" s="23" t="s">
        <v>132</v>
      </c>
      <c r="C6" s="76">
        <f>(Accounts_Receivable+Last_Year_Accounts_Receivable)/2</f>
        <v>145520.5</v>
      </c>
      <c r="D6" s="284"/>
      <c r="F6" s="63" t="s">
        <v>135</v>
      </c>
      <c r="G6" s="47">
        <f>D5</f>
        <v>0.44687861847643462</v>
      </c>
      <c r="H6" s="285"/>
    </row>
    <row r="7" spans="2:8" x14ac:dyDescent="0.5">
      <c r="H7" s="44"/>
    </row>
    <row r="8" spans="2:8" x14ac:dyDescent="0.5">
      <c r="B8" s="29" t="s">
        <v>136</v>
      </c>
      <c r="F8" s="26" t="s">
        <v>138</v>
      </c>
      <c r="H8" s="44"/>
    </row>
    <row r="9" spans="2:8" ht="18.600000000000001" thickBot="1" x14ac:dyDescent="0.55000000000000004">
      <c r="B9" s="23" t="s">
        <v>4</v>
      </c>
      <c r="C9" s="75">
        <f>Cost_of_Goods_Sold</f>
        <v>20360</v>
      </c>
      <c r="D9" s="284">
        <f>SUM(C9/C10)</f>
        <v>9.7548822323156828E-2</v>
      </c>
      <c r="F9" s="27" t="s">
        <v>134</v>
      </c>
      <c r="G9" s="48">
        <v>365</v>
      </c>
      <c r="H9" s="285">
        <f>SUM(G9/G10)</f>
        <v>3741.7161100196463</v>
      </c>
    </row>
    <row r="10" spans="2:8" x14ac:dyDescent="0.5">
      <c r="B10" s="23" t="s">
        <v>137</v>
      </c>
      <c r="C10" s="76">
        <f>(Inventories+Last_Year_Inventories)/2</f>
        <v>208716</v>
      </c>
      <c r="D10" s="284"/>
      <c r="F10" s="63" t="s">
        <v>136</v>
      </c>
      <c r="G10" s="47">
        <f>D9</f>
        <v>9.7548822323156828E-2</v>
      </c>
      <c r="H10" s="285"/>
    </row>
    <row r="11" spans="2:8" x14ac:dyDescent="0.5">
      <c r="H11" s="44"/>
    </row>
    <row r="12" spans="2:8" x14ac:dyDescent="0.5">
      <c r="B12" s="29" t="s">
        <v>139</v>
      </c>
      <c r="F12" s="29" t="s">
        <v>141</v>
      </c>
      <c r="H12" s="44"/>
    </row>
    <row r="13" spans="2:8" ht="18.600000000000001" thickBot="1" x14ac:dyDescent="0.55000000000000004">
      <c r="B13" s="23" t="s">
        <v>4</v>
      </c>
      <c r="C13" s="77">
        <f>C9</f>
        <v>20360</v>
      </c>
      <c r="D13" s="286">
        <f>SUM(C13/C14)</f>
        <v>0.13991155885253281</v>
      </c>
      <c r="F13" s="27" t="s">
        <v>134</v>
      </c>
      <c r="G13" s="48">
        <v>365</v>
      </c>
      <c r="H13" s="285">
        <f>SUM(G13/G14)</f>
        <v>2608.7908889980354</v>
      </c>
    </row>
    <row r="14" spans="2:8" x14ac:dyDescent="0.5">
      <c r="B14" s="23" t="s">
        <v>140</v>
      </c>
      <c r="C14" s="76">
        <f>(Accounts_Receivable+Last_Year_Accounts_Receivable)/2</f>
        <v>145520.5</v>
      </c>
      <c r="D14" s="286"/>
      <c r="F14" s="63" t="s">
        <v>142</v>
      </c>
      <c r="G14" s="47">
        <f>D13</f>
        <v>0.13991155885253281</v>
      </c>
      <c r="H14" s="285"/>
    </row>
    <row r="15" spans="2:8" x14ac:dyDescent="0.5">
      <c r="H15" s="44"/>
    </row>
    <row r="16" spans="2:8" x14ac:dyDescent="0.5">
      <c r="H16" s="44"/>
    </row>
    <row r="17" spans="2:8" x14ac:dyDescent="0.5">
      <c r="B17" s="278" t="s">
        <v>153</v>
      </c>
      <c r="C17" s="278"/>
      <c r="D17" s="278"/>
      <c r="H17" s="44"/>
    </row>
    <row r="18" spans="2:8" x14ac:dyDescent="0.5">
      <c r="B18" s="29" t="s">
        <v>146</v>
      </c>
      <c r="C18" s="32"/>
      <c r="D18" s="32"/>
      <c r="F18" s="29" t="s">
        <v>143</v>
      </c>
      <c r="H18" s="44"/>
    </row>
    <row r="19" spans="2:8" ht="18.600000000000001" thickBot="1" x14ac:dyDescent="0.55000000000000004">
      <c r="B19" s="23" t="s">
        <v>105</v>
      </c>
      <c r="C19" s="77">
        <f>C5</f>
        <v>65030</v>
      </c>
      <c r="D19" s="282">
        <f>SUM(C19/C20)</f>
        <v>0.17838577741690373</v>
      </c>
      <c r="F19" s="28" t="s">
        <v>138</v>
      </c>
      <c r="G19" s="30">
        <f>H9</f>
        <v>3741.7161100196463</v>
      </c>
      <c r="H19" s="44"/>
    </row>
    <row r="20" spans="2:8" x14ac:dyDescent="0.5">
      <c r="B20" s="23" t="s">
        <v>147</v>
      </c>
      <c r="C20" s="76">
        <f>Property__Plant__and_Equipment+Last_Year_Property__Plant__and_Equipment</f>
        <v>364547</v>
      </c>
      <c r="D20" s="283"/>
      <c r="F20" s="28" t="s">
        <v>155</v>
      </c>
      <c r="G20" s="30">
        <f>-H13</f>
        <v>-2608.7908889980354</v>
      </c>
      <c r="H20" s="44"/>
    </row>
    <row r="21" spans="2:8" x14ac:dyDescent="0.5">
      <c r="B21" s="32"/>
      <c r="C21" s="32"/>
      <c r="D21" s="32"/>
      <c r="F21" s="23" t="s">
        <v>144</v>
      </c>
      <c r="G21" s="57">
        <f>SUM(G19:G20)</f>
        <v>1132.9252210216109</v>
      </c>
      <c r="H21" s="44"/>
    </row>
    <row r="22" spans="2:8" x14ac:dyDescent="0.5">
      <c r="F22" s="28" t="s">
        <v>133</v>
      </c>
      <c r="G22" s="30">
        <f>H5</f>
        <v>816.77660310625856</v>
      </c>
      <c r="H22" s="44"/>
    </row>
    <row r="23" spans="2:8" x14ac:dyDescent="0.5">
      <c r="F23" s="23" t="s">
        <v>145</v>
      </c>
      <c r="G23" s="56">
        <f>SUM(G19:G22)</f>
        <v>3082.6270451494802</v>
      </c>
      <c r="H23" s="44"/>
    </row>
    <row r="24" spans="2:8" ht="18.600000000000001" thickBot="1" x14ac:dyDescent="0.55000000000000004">
      <c r="F24" s="45"/>
      <c r="G24" s="45"/>
      <c r="H24" s="46"/>
    </row>
    <row r="25" spans="2:8" ht="18.600000000000001" thickBot="1" x14ac:dyDescent="0.55000000000000004"/>
    <row r="26" spans="2:8" ht="22.2" thickBot="1" x14ac:dyDescent="0.55000000000000004">
      <c r="B26" s="241" t="s">
        <v>152</v>
      </c>
      <c r="C26" s="242"/>
      <c r="D26" s="243"/>
      <c r="F26" s="241" t="s">
        <v>198</v>
      </c>
      <c r="G26" s="242"/>
      <c r="H26" s="243"/>
    </row>
    <row r="27" spans="2:8" x14ac:dyDescent="0.5">
      <c r="D27" s="44"/>
      <c r="G27" s="92"/>
      <c r="H27" s="43"/>
    </row>
    <row r="28" spans="2:8" x14ac:dyDescent="0.5">
      <c r="B28" s="40" t="s">
        <v>148</v>
      </c>
      <c r="C28" s="81"/>
      <c r="D28" s="85"/>
      <c r="F28" s="88" t="s">
        <v>192</v>
      </c>
      <c r="G28" s="249"/>
      <c r="H28" s="272"/>
    </row>
    <row r="29" spans="2:8" ht="18.600000000000001" thickBot="1" x14ac:dyDescent="0.55000000000000004">
      <c r="B29" s="39" t="s">
        <v>116</v>
      </c>
      <c r="C29" s="78">
        <f>Total_Liabilities</f>
        <v>603896</v>
      </c>
      <c r="D29" s="275">
        <f>SUM(C29/C30)</f>
        <v>0.693604758672414</v>
      </c>
      <c r="F29" s="89" t="s">
        <v>193</v>
      </c>
      <c r="G29" s="94">
        <f>Cash+Accounts_Receivable+Inventories+Prepaid_expenses_and_other_current</f>
        <v>470359</v>
      </c>
      <c r="H29" s="269">
        <f>G29-G30</f>
        <v>111279</v>
      </c>
    </row>
    <row r="30" spans="2:8" x14ac:dyDescent="0.5">
      <c r="B30" s="39" t="s">
        <v>115</v>
      </c>
      <c r="C30" s="79">
        <f>Total_Assets</f>
        <v>870663</v>
      </c>
      <c r="D30" s="276"/>
      <c r="F30" s="89" t="s">
        <v>194</v>
      </c>
      <c r="G30" s="91">
        <f>Total_Current_Liabilities</f>
        <v>359080</v>
      </c>
      <c r="H30" s="271"/>
    </row>
    <row r="31" spans="2:8" x14ac:dyDescent="0.5">
      <c r="D31" s="44"/>
      <c r="G31" s="31"/>
      <c r="H31" s="93"/>
    </row>
    <row r="32" spans="2:8" x14ac:dyDescent="0.5">
      <c r="B32" s="40" t="s">
        <v>149</v>
      </c>
      <c r="C32" s="81"/>
      <c r="D32" s="85"/>
      <c r="F32" s="88" t="s">
        <v>195</v>
      </c>
      <c r="G32" s="249"/>
      <c r="H32" s="272"/>
    </row>
    <row r="33" spans="2:8" ht="18.600000000000001" thickBot="1" x14ac:dyDescent="0.55000000000000004">
      <c r="B33" s="39" t="s">
        <v>116</v>
      </c>
      <c r="C33" s="80">
        <f>C29</f>
        <v>603896</v>
      </c>
      <c r="D33" s="273">
        <f>SUM(C33/C34)</f>
        <v>2.2637582609543161</v>
      </c>
      <c r="F33" s="89" t="s">
        <v>193</v>
      </c>
      <c r="G33" s="90">
        <f>G29</f>
        <v>470359</v>
      </c>
      <c r="H33" s="267">
        <f>SUM(G33/G34)</f>
        <v>1.309900300768631</v>
      </c>
    </row>
    <row r="34" spans="2:8" x14ac:dyDescent="0.5">
      <c r="B34" s="39" t="s">
        <v>150</v>
      </c>
      <c r="C34" s="79">
        <f>Total_Equity</f>
        <v>266767</v>
      </c>
      <c r="D34" s="274"/>
      <c r="F34" s="89" t="s">
        <v>168</v>
      </c>
      <c r="G34" s="91">
        <f>G30</f>
        <v>359080</v>
      </c>
      <c r="H34" s="268"/>
    </row>
    <row r="35" spans="2:8" x14ac:dyDescent="0.5">
      <c r="D35" s="44"/>
      <c r="G35" s="31"/>
      <c r="H35" s="44"/>
    </row>
    <row r="36" spans="2:8" x14ac:dyDescent="0.5">
      <c r="B36" s="40" t="s">
        <v>151</v>
      </c>
      <c r="C36" s="86"/>
      <c r="D36" s="87"/>
      <c r="F36" s="88" t="s">
        <v>196</v>
      </c>
      <c r="G36" s="249"/>
      <c r="H36" s="272"/>
    </row>
    <row r="37" spans="2:8" ht="18.600000000000001" thickBot="1" x14ac:dyDescent="0.55000000000000004">
      <c r="B37" s="39" t="s">
        <v>110</v>
      </c>
      <c r="C37" s="36">
        <f>Net_Income</f>
        <v>-36927</v>
      </c>
      <c r="D37" s="44"/>
      <c r="F37" s="89" t="s">
        <v>197</v>
      </c>
      <c r="G37" s="90">
        <f>Cash+Accounts_Receivable</f>
        <v>229026</v>
      </c>
      <c r="H37" s="267">
        <f>SUM(G37/G38)</f>
        <v>0.63781330065723518</v>
      </c>
    </row>
    <row r="38" spans="2:8" x14ac:dyDescent="0.5">
      <c r="B38" s="39" t="s">
        <v>5</v>
      </c>
      <c r="C38" s="36">
        <f>Interest_Expense*-1</f>
        <v>-571</v>
      </c>
      <c r="D38" s="44"/>
      <c r="F38" s="89" t="s">
        <v>168</v>
      </c>
      <c r="G38" s="91">
        <f>Total_Current_Liabilities</f>
        <v>359080</v>
      </c>
      <c r="H38" s="268"/>
    </row>
    <row r="39" spans="2:8" ht="18.600000000000001" thickBot="1" x14ac:dyDescent="0.55000000000000004">
      <c r="B39" s="39" t="s">
        <v>109</v>
      </c>
      <c r="C39" s="36">
        <f>Provision_for_taxes</f>
        <v>57168</v>
      </c>
      <c r="D39" s="273">
        <f>C40/C41</f>
        <v>-34.448336252189144</v>
      </c>
      <c r="F39" s="49"/>
      <c r="G39" s="49"/>
      <c r="H39" s="50"/>
    </row>
    <row r="40" spans="2:8" ht="18.600000000000001" thickBot="1" x14ac:dyDescent="0.55000000000000004">
      <c r="B40" s="55" t="s">
        <v>154</v>
      </c>
      <c r="C40" s="37">
        <f>SUM(C37:C39)</f>
        <v>19670</v>
      </c>
      <c r="D40" s="277"/>
    </row>
    <row r="41" spans="2:8" ht="22.2" thickBot="1" x14ac:dyDescent="0.55000000000000004">
      <c r="B41" s="39" t="s">
        <v>5</v>
      </c>
      <c r="C41" s="38">
        <f>C38</f>
        <v>-571</v>
      </c>
      <c r="D41" s="274"/>
      <c r="F41" s="82" t="s">
        <v>234</v>
      </c>
      <c r="G41" s="83"/>
      <c r="H41" s="84"/>
    </row>
    <row r="42" spans="2:8" ht="18.600000000000001" thickBot="1" x14ac:dyDescent="0.55000000000000004">
      <c r="B42" s="49"/>
      <c r="C42" s="49"/>
      <c r="D42" s="50"/>
      <c r="G42" s="92"/>
      <c r="H42" s="43"/>
    </row>
    <row r="43" spans="2:8" x14ac:dyDescent="0.5">
      <c r="F43" s="88" t="s">
        <v>232</v>
      </c>
      <c r="G43" s="81"/>
      <c r="H43" s="85"/>
    </row>
    <row r="44" spans="2:8" ht="18.600000000000001" thickBot="1" x14ac:dyDescent="0.55000000000000004">
      <c r="F44" s="89" t="s">
        <v>233</v>
      </c>
      <c r="G44" s="90">
        <f>'Fin. Statements'!J20</f>
        <v>-40708</v>
      </c>
      <c r="H44" s="265">
        <f>G44/G45</f>
        <v>1.1023912042678798</v>
      </c>
    </row>
    <row r="45" spans="2:8" x14ac:dyDescent="0.5">
      <c r="F45" s="89" t="s">
        <v>110</v>
      </c>
      <c r="G45" s="91">
        <f>Net_Income</f>
        <v>-36927</v>
      </c>
      <c r="H45" s="266"/>
    </row>
    <row r="46" spans="2:8" x14ac:dyDescent="0.5">
      <c r="G46" s="31"/>
      <c r="H46" s="93"/>
    </row>
    <row r="47" spans="2:8" x14ac:dyDescent="0.5">
      <c r="F47" s="88" t="s">
        <v>235</v>
      </c>
      <c r="G47" s="81"/>
      <c r="H47" s="85"/>
    </row>
    <row r="48" spans="2:8" ht="18.600000000000001" thickBot="1" x14ac:dyDescent="0.55000000000000004">
      <c r="F48" s="89" t="s">
        <v>233</v>
      </c>
      <c r="G48" s="90">
        <f>G44</f>
        <v>-40708</v>
      </c>
      <c r="H48" s="267">
        <f>SUM(G48/G49)</f>
        <v>-0.71676585554812133</v>
      </c>
    </row>
    <row r="49" spans="6:8" x14ac:dyDescent="0.5">
      <c r="F49" s="89" t="s">
        <v>236</v>
      </c>
      <c r="G49" s="91">
        <f>(('Fin. Statements'!J23)*-1)-'Fin. Statements'!J24</f>
        <v>56794</v>
      </c>
      <c r="H49" s="268"/>
    </row>
    <row r="50" spans="6:8" x14ac:dyDescent="0.5">
      <c r="G50" s="31"/>
      <c r="H50" s="44"/>
    </row>
    <row r="51" spans="6:8" x14ac:dyDescent="0.5">
      <c r="F51" s="88" t="s">
        <v>237</v>
      </c>
      <c r="G51" s="81"/>
      <c r="H51" s="85"/>
    </row>
    <row r="52" spans="6:8" x14ac:dyDescent="0.5">
      <c r="F52" s="89" t="s">
        <v>233</v>
      </c>
      <c r="G52" s="94">
        <f>'Fin. Statements'!J20</f>
        <v>-40708</v>
      </c>
      <c r="H52" s="269">
        <f>G52+G53+G54</f>
        <v>-123125</v>
      </c>
    </row>
    <row r="53" spans="6:8" x14ac:dyDescent="0.5">
      <c r="F53" s="89" t="s">
        <v>238</v>
      </c>
      <c r="G53" s="94">
        <f>'Fin. Statements'!J23</f>
        <v>-57447</v>
      </c>
      <c r="H53" s="270"/>
    </row>
    <row r="54" spans="6:8" x14ac:dyDescent="0.5">
      <c r="F54" s="89" t="s">
        <v>225</v>
      </c>
      <c r="G54" s="91">
        <f>'Fin. Statements'!J37</f>
        <v>-24970</v>
      </c>
      <c r="H54" s="271"/>
    </row>
    <row r="55" spans="6:8" ht="18.600000000000001" thickBot="1" x14ac:dyDescent="0.55000000000000004">
      <c r="F55" s="49"/>
      <c r="G55" s="49"/>
      <c r="H55" s="50"/>
    </row>
  </sheetData>
  <mergeCells count="23">
    <mergeCell ref="B26:D26"/>
    <mergeCell ref="B17:D17"/>
    <mergeCell ref="B2:H2"/>
    <mergeCell ref="D19:D20"/>
    <mergeCell ref="D5:D6"/>
    <mergeCell ref="H5:H6"/>
    <mergeCell ref="D9:D10"/>
    <mergeCell ref="H9:H10"/>
    <mergeCell ref="D13:D14"/>
    <mergeCell ref="H13:H14"/>
    <mergeCell ref="D33:D34"/>
    <mergeCell ref="D29:D30"/>
    <mergeCell ref="D39:D41"/>
    <mergeCell ref="G32:H32"/>
    <mergeCell ref="H33:H34"/>
    <mergeCell ref="G36:H36"/>
    <mergeCell ref="H37:H38"/>
    <mergeCell ref="H44:H45"/>
    <mergeCell ref="H48:H49"/>
    <mergeCell ref="H52:H54"/>
    <mergeCell ref="F26:H26"/>
    <mergeCell ref="G28:H28"/>
    <mergeCell ref="H29:H30"/>
  </mergeCells>
  <printOptions horizontalCentered="1"/>
  <pageMargins left="0.25" right="0.25" top="0.75" bottom="0.75" header="0.3" footer="0.3"/>
  <pageSetup scale="72"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73</vt:i4>
      </vt:variant>
    </vt:vector>
  </HeadingPairs>
  <TitlesOfParts>
    <vt:vector size="78" baseType="lpstr">
      <vt:lpstr>Intro</vt:lpstr>
      <vt:lpstr>Fin. Statements</vt:lpstr>
      <vt:lpstr>ROI - Profitability</vt:lpstr>
      <vt:lpstr>Efficiency</vt:lpstr>
      <vt:lpstr>Income Chart</vt:lpstr>
      <vt:lpstr>Accounts_Payable</vt:lpstr>
      <vt:lpstr>Accounts_Receivable</vt:lpstr>
      <vt:lpstr>Accrued_liabilities</vt:lpstr>
      <vt:lpstr>Accumulated_other_loss</vt:lpstr>
      <vt:lpstr>Cash</vt:lpstr>
      <vt:lpstr>Common_Stock</vt:lpstr>
      <vt:lpstr>Cost_of_Goods_Sold</vt:lpstr>
      <vt:lpstr>Current_portion_long_term_debt</vt:lpstr>
      <vt:lpstr>Deferred_income_taxes</vt:lpstr>
      <vt:lpstr>Deferred_income_taxes_liability</vt:lpstr>
      <vt:lpstr>Deferred_revenue</vt:lpstr>
      <vt:lpstr>Goodwill</vt:lpstr>
      <vt:lpstr>Gross_Profit</vt:lpstr>
      <vt:lpstr>Interest_Expense</vt:lpstr>
      <vt:lpstr>Inventories</vt:lpstr>
      <vt:lpstr>Last_Year_Accounts_Payable</vt:lpstr>
      <vt:lpstr>Last_Year_Accounts_Receivable</vt:lpstr>
      <vt:lpstr>Last_year_accrued_liabilities</vt:lpstr>
      <vt:lpstr>Last_year_Accumulated_other_loss</vt:lpstr>
      <vt:lpstr>Last_Year_Cash</vt:lpstr>
      <vt:lpstr>Last_year_common_stock</vt:lpstr>
      <vt:lpstr>Last_Year_Cost_of_Goods_Sold</vt:lpstr>
      <vt:lpstr>Last_year_current_liabilities</vt:lpstr>
      <vt:lpstr>Last_year_current_portion_long_term_debt</vt:lpstr>
      <vt:lpstr>Last_Year_Deferred_income_taxes</vt:lpstr>
      <vt:lpstr>Last_year_Deferred_income_taxes_liabilities</vt:lpstr>
      <vt:lpstr>Last_year_Deferred_revenue</vt:lpstr>
      <vt:lpstr>Last_Year_Goodwill</vt:lpstr>
      <vt:lpstr>Last_Year_Gross_Profit</vt:lpstr>
      <vt:lpstr>Last_Year_Interest_Expense</vt:lpstr>
      <vt:lpstr>Last_Year_Inventories</vt:lpstr>
      <vt:lpstr>Last_year_long_term_debt_less_short_portion</vt:lpstr>
      <vt:lpstr>Last_Year_Net_Income</vt:lpstr>
      <vt:lpstr>Last_Year_Net_Sales</vt:lpstr>
      <vt:lpstr>Last_Year_Operating_Expenses</vt:lpstr>
      <vt:lpstr>Last_Year_Operating_Income</vt:lpstr>
      <vt:lpstr>Last_Year_Other_Assets</vt:lpstr>
      <vt:lpstr>Last_Year_Other_Income__Expense</vt:lpstr>
      <vt:lpstr>Last_Year_Other_intangible_assets</vt:lpstr>
      <vt:lpstr>Last_year_Other_long_term_liabilities</vt:lpstr>
      <vt:lpstr>Last_year_preferred_stock</vt:lpstr>
      <vt:lpstr>Last_Year_Prepaid_expenses_and_other</vt:lpstr>
      <vt:lpstr>Last_Year_Property__Plant__and_Equipment</vt:lpstr>
      <vt:lpstr>Last_Year_Provision_for_taxes</vt:lpstr>
      <vt:lpstr>Last_year_retained_earnings</vt:lpstr>
      <vt:lpstr>Last_year_short_term_debt</vt:lpstr>
      <vt:lpstr>Last_Year_Total_Assets</vt:lpstr>
      <vt:lpstr>Last_Year_Total_Equity</vt:lpstr>
      <vt:lpstr>Last_Year_Total_Liabilities</vt:lpstr>
      <vt:lpstr>Last_year_Total_liabilities_and_Equity</vt:lpstr>
      <vt:lpstr>Long_term_debt_less_short_portion</vt:lpstr>
      <vt:lpstr>Net_Income</vt:lpstr>
      <vt:lpstr>Net_Sales</vt:lpstr>
      <vt:lpstr>Operating_Expenses</vt:lpstr>
      <vt:lpstr>Operating_Income</vt:lpstr>
      <vt:lpstr>Other_Assets</vt:lpstr>
      <vt:lpstr>Other_Income__Expense</vt:lpstr>
      <vt:lpstr>Other_intangible_assets</vt:lpstr>
      <vt:lpstr>Other_long_term_liabilities</vt:lpstr>
      <vt:lpstr>Preferred_Stock</vt:lpstr>
      <vt:lpstr>Prepaid_expenses_and_other_current</vt:lpstr>
      <vt:lpstr>Efficiency!Print_Area</vt:lpstr>
      <vt:lpstr>'Fin. Statements'!Print_Area</vt:lpstr>
      <vt:lpstr>'ROI - Profitability'!Print_Area</vt:lpstr>
      <vt:lpstr>Property__Plant__and_Equipment</vt:lpstr>
      <vt:lpstr>Provision_for_taxes</vt:lpstr>
      <vt:lpstr>Retained_Earnings</vt:lpstr>
      <vt:lpstr>Short_term_debt</vt:lpstr>
      <vt:lpstr>Total_Assets</vt:lpstr>
      <vt:lpstr>Total_Current_Liabilities</vt:lpstr>
      <vt:lpstr>Total_Equity</vt:lpstr>
      <vt:lpstr>Total_Liabilities</vt:lpstr>
      <vt:lpstr>Total_Liabilities_and_Equity</vt:lpstr>
    </vt:vector>
  </TitlesOfParts>
  <Company>Southern State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dc:creator>
  <cp:lastModifiedBy>Sean Anderson</cp:lastModifiedBy>
  <cp:lastPrinted>2013-03-03T07:38:42Z</cp:lastPrinted>
  <dcterms:created xsi:type="dcterms:W3CDTF">2013-02-05T07:25:20Z</dcterms:created>
  <dcterms:modified xsi:type="dcterms:W3CDTF">2016-11-14T02:28:19Z</dcterms:modified>
</cp:coreProperties>
</file>